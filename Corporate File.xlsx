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tekna-my.sharepoint.com/personal/robert_tekna_com_au/Documents/Accounts - Internal/Corporate File/"/>
    </mc:Choice>
  </mc:AlternateContent>
  <xr:revisionPtr revIDLastSave="1759" documentId="8_{41BE9946-5620-4396-A678-DE12D60591BC}" xr6:coauthVersionLast="47" xr6:coauthVersionMax="47" xr10:uidLastSave="{FC059A41-452E-FC41-B324-E4E0420BC1FD}"/>
  <bookViews>
    <workbookView xWindow="45010" yWindow="1990" windowWidth="28210" windowHeight="16600" tabRatio="812" firstSheet="7" activeTab="11" xr2:uid="{951165B7-8C6F-4A78-8B71-C16B81CE59C4}"/>
  </bookViews>
  <sheets>
    <sheet name="2022 Charity (2)" sheetId="11" state="hidden" r:id="rId1"/>
    <sheet name="2022 Team Harder (2)" sheetId="12" state="hidden" r:id="rId2"/>
    <sheet name="StatementImportTemplate.en-US" sheetId="15" state="hidden" r:id="rId3"/>
    <sheet name="Co Invest Homes" sheetId="46" r:id="rId4"/>
    <sheet name="Co Invest Capital" sheetId="45" r:id="rId5"/>
    <sheet name="W2G" sheetId="44" r:id="rId6"/>
    <sheet name="THSI" sheetId="43" r:id="rId7"/>
    <sheet name="Team Harder Family Trust" sheetId="42" r:id="rId8"/>
    <sheet name="Prov1322" sheetId="41" r:id="rId9"/>
    <sheet name="Gen2612" sheetId="40" r:id="rId10"/>
    <sheet name="Team Harder Super Fund" sheetId="38" r:id="rId11"/>
    <sheet name="Team Harder" sheetId="37" r:id="rId12"/>
    <sheet name="Tekna Homes" sheetId="36" r:id="rId13"/>
    <sheet name="Tekna Drafting" sheetId="35" r:id="rId14"/>
    <sheet name="Tekna Admin" sheetId="33" r:id="rId15"/>
    <sheet name="Tekna" sheetId="34" r:id="rId16"/>
    <sheet name="The Promise Family Trust" sheetId="39" r:id="rId17"/>
    <sheet name="The Promise QLD PTY LTD" sheetId="25" r:id="rId18"/>
    <sheet name="Template" sheetId="32" r:id="rId19"/>
    <sheet name="All Companies" sheetId="24" r:id="rId20"/>
    <sheet name="Document Type" sheetId="29" r:id="rId21"/>
    <sheet name="Sheet3" sheetId="47" r:id="rId22"/>
    <sheet name="Bank Accounts " sheetId="14" r:id="rId23"/>
    <sheet name="XERO Account Numbers" sheetId="9" r:id="rId24"/>
    <sheet name="Sheet2" sheetId="22" state="hidden" r:id="rId25"/>
    <sheet name="Balance Sheet Reconcile" sheetId="17" state="hidden" r:id="rId26"/>
    <sheet name="Sheet1" sheetId="20" state="hidden" r:id="rId27"/>
    <sheet name="Director Details (2)" sheetId="21" state="hidden" r:id="rId28"/>
    <sheet name="Director Details" sheetId="8" r:id="rId29"/>
    <sheet name="Rachel Directorship" sheetId="18" state="hidden" r:id="rId30"/>
    <sheet name="Logon" sheetId="6" state="hidden" r:id="rId31"/>
    <sheet name=" Team Plug" sheetId="10" state="hidden" r:id="rId32"/>
    <sheet name=" Tekna Group" sheetId="3" state="hidden" r:id="rId33"/>
    <sheet name=" Team Harder" sheetId="2" state="hidden" r:id="rId34"/>
    <sheet name="Insurance Cover" sheetId="19" r:id="rId35"/>
    <sheet name="SVL" sheetId="13" state="hidden" r:id="rId36"/>
    <sheet name="Tekna Models" sheetId="16" state="hidden" r:id="rId37"/>
    <sheet name=" Charity" sheetId="4" state="hidden" r:id="rId38"/>
    <sheet name="Wages" sheetId="7" state="hidden" r:id="rId39"/>
  </sheets>
  <definedNames>
    <definedName name="_xlnm._FilterDatabase" localSheetId="37" hidden="1">' Charity'!$A$1:$U$4</definedName>
    <definedName name="_xlnm._FilterDatabase" localSheetId="33" hidden="1">' Team Harder'!$A$1:$AB$13</definedName>
    <definedName name="_xlnm._FilterDatabase" localSheetId="32" hidden="1">' Tekna Group'!$A$1:$V$1</definedName>
    <definedName name="_xlnm._FilterDatabase" localSheetId="0" hidden="1">'2022 Charity (2)'!$A$1:$U$7</definedName>
    <definedName name="_xlnm._FilterDatabase" localSheetId="1" hidden="1">'2022 Team Harder (2)'!$A$1:$Z$19</definedName>
    <definedName name="_xlnm._FilterDatabase" localSheetId="19" hidden="1">'All Companies'!$A$1:$M$1</definedName>
    <definedName name="_xlnm._FilterDatabase" localSheetId="4" hidden="1">'Co Invest Capital'!$B$26:$H$62</definedName>
    <definedName name="_xlnm._FilterDatabase" localSheetId="3" hidden="1">'Co Invest Homes'!$B$30:$H$68</definedName>
    <definedName name="_xlnm._FilterDatabase" localSheetId="28" hidden="1">'Director Details'!$B$1:$J$1</definedName>
    <definedName name="_xlnm._FilterDatabase" localSheetId="27" hidden="1">'Director Details (2)'!$B$1:$I$1</definedName>
    <definedName name="_xlnm._FilterDatabase" localSheetId="9" hidden="1">'Gen2612'!$A$26:$G$61</definedName>
    <definedName name="_xlnm._FilterDatabase" localSheetId="8" hidden="1">Prov1322!$A$26:$G$60</definedName>
    <definedName name="_xlnm._FilterDatabase" localSheetId="11" hidden="1">'Team Harder'!$A$26:$G$61</definedName>
    <definedName name="_xlnm._FilterDatabase" localSheetId="7" hidden="1">'Team Harder Family Trust'!$B$26:$H$73</definedName>
    <definedName name="_xlnm._FilterDatabase" localSheetId="10" hidden="1">'Team Harder Super Fund'!$A$26:$G$61</definedName>
    <definedName name="_xlnm._FilterDatabase" localSheetId="15" hidden="1">Tekna!$B$31:$H$76</definedName>
    <definedName name="_xlnm._FilterDatabase" localSheetId="14" hidden="1">'Tekna Admin'!$B$26:$H$61</definedName>
    <definedName name="_xlnm._FilterDatabase" localSheetId="13" hidden="1">'Tekna Drafting'!$B$26:$H$86</definedName>
    <definedName name="_xlnm._FilterDatabase" localSheetId="12" hidden="1">'Tekna Homes'!$A$27:$G$63</definedName>
    <definedName name="_xlnm._FilterDatabase" localSheetId="18" hidden="1">Template!$B$26:$H$61</definedName>
    <definedName name="_xlnm._FilterDatabase" localSheetId="16" hidden="1">'The Promise Family Trust'!$B$26:$H$61</definedName>
    <definedName name="_xlnm._FilterDatabase" localSheetId="17" hidden="1">'The Promise QLD PTY LTD'!$B$26:$H$61</definedName>
    <definedName name="_xlnm._FilterDatabase" localSheetId="6" hidden="1">THSI!$B$26:$H$63</definedName>
    <definedName name="_xlnm._FilterDatabase" localSheetId="5" hidden="1">W2G!$B$26:$H$61</definedName>
    <definedName name="_xlnm._FilterDatabase" localSheetId="23" hidden="1">'XERO Account Numbers'!$A$1:$D$1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46" l="1"/>
  <c r="D68" i="46"/>
  <c r="D61" i="34" l="1"/>
  <c r="D60" i="42" l="1"/>
  <c r="H127" i="46"/>
  <c r="H126" i="46"/>
  <c r="H125" i="46"/>
  <c r="H124" i="46"/>
  <c r="H123" i="46"/>
  <c r="H122" i="46"/>
  <c r="H121" i="46"/>
  <c r="H120" i="46"/>
  <c r="H119" i="46"/>
  <c r="H118" i="46"/>
  <c r="H117" i="46"/>
  <c r="H116" i="46"/>
  <c r="H115" i="46"/>
  <c r="H114" i="46"/>
  <c r="H113" i="46"/>
  <c r="H112" i="46"/>
  <c r="H111" i="46"/>
  <c r="H110" i="46"/>
  <c r="D66" i="46"/>
  <c r="D65" i="46"/>
  <c r="D64" i="46"/>
  <c r="D63" i="46"/>
  <c r="D62" i="46"/>
  <c r="D61" i="46"/>
  <c r="D60" i="46"/>
  <c r="D59" i="46"/>
  <c r="D58" i="46"/>
  <c r="D57" i="46"/>
  <c r="D56" i="46"/>
  <c r="D55" i="46"/>
  <c r="D54" i="46"/>
  <c r="D53" i="46"/>
  <c r="D52" i="46"/>
  <c r="D51" i="46"/>
  <c r="D50" i="46"/>
  <c r="D49" i="46"/>
  <c r="D48" i="46"/>
  <c r="D47" i="46"/>
  <c r="D46" i="46"/>
  <c r="D45" i="46"/>
  <c r="D44" i="46"/>
  <c r="D43" i="46"/>
  <c r="D42" i="46"/>
  <c r="D41" i="46"/>
  <c r="D40" i="46"/>
  <c r="D39" i="46"/>
  <c r="D38" i="46"/>
  <c r="D37" i="46"/>
  <c r="D36" i="46"/>
  <c r="D35" i="46"/>
  <c r="D34" i="46"/>
  <c r="D33" i="46"/>
  <c r="D32" i="46"/>
  <c r="D31" i="46"/>
  <c r="D62" i="45"/>
  <c r="H122" i="45"/>
  <c r="H121" i="45"/>
  <c r="H120" i="45"/>
  <c r="H119" i="45"/>
  <c r="H118" i="45"/>
  <c r="H117" i="45"/>
  <c r="H116" i="45"/>
  <c r="H115" i="45"/>
  <c r="H114" i="45"/>
  <c r="H113" i="45"/>
  <c r="H112" i="45"/>
  <c r="H111" i="45"/>
  <c r="H110" i="45"/>
  <c r="H109" i="45"/>
  <c r="H108" i="45"/>
  <c r="H107" i="45"/>
  <c r="H106" i="45"/>
  <c r="H105" i="45"/>
  <c r="D61" i="45"/>
  <c r="D60" i="45"/>
  <c r="D59" i="45"/>
  <c r="D58" i="45"/>
  <c r="D57" i="45"/>
  <c r="D56" i="45"/>
  <c r="D55" i="45"/>
  <c r="D54" i="45"/>
  <c r="D53" i="45"/>
  <c r="D52" i="45"/>
  <c r="D51" i="45"/>
  <c r="D50" i="45"/>
  <c r="D49" i="45"/>
  <c r="D48" i="45"/>
  <c r="D47" i="45"/>
  <c r="D46" i="45"/>
  <c r="D45" i="45"/>
  <c r="D44" i="45"/>
  <c r="D43" i="45"/>
  <c r="D42" i="45"/>
  <c r="D41" i="45"/>
  <c r="D40" i="45"/>
  <c r="D39" i="45"/>
  <c r="D38" i="45"/>
  <c r="D37" i="45"/>
  <c r="D36" i="45"/>
  <c r="D35" i="45"/>
  <c r="D34" i="45"/>
  <c r="D33" i="45"/>
  <c r="D32" i="45"/>
  <c r="D31" i="45"/>
  <c r="D30" i="45"/>
  <c r="D29" i="45"/>
  <c r="D28" i="45"/>
  <c r="D27" i="45"/>
  <c r="D68" i="42"/>
  <c r="D65" i="42"/>
  <c r="D66" i="42"/>
  <c r="D67" i="42"/>
  <c r="C53" i="40"/>
  <c r="C54" i="40"/>
  <c r="C55" i="40"/>
  <c r="C56" i="40"/>
  <c r="C57" i="40"/>
  <c r="D61" i="42"/>
  <c r="D59" i="42"/>
  <c r="D58" i="42"/>
  <c r="D55" i="34"/>
  <c r="D57" i="34"/>
  <c r="D38" i="34"/>
  <c r="D39" i="34"/>
  <c r="D37" i="34"/>
  <c r="D32" i="34"/>
  <c r="D33" i="34"/>
  <c r="D34" i="34"/>
  <c r="D43" i="34"/>
  <c r="D45" i="34"/>
  <c r="D58" i="34"/>
  <c r="D44" i="34"/>
  <c r="D46" i="34"/>
  <c r="D53" i="34"/>
  <c r="D40" i="34"/>
  <c r="D62" i="34"/>
  <c r="D47" i="34"/>
  <c r="D48" i="34"/>
  <c r="D54" i="34"/>
  <c r="D56" i="34"/>
  <c r="D49" i="34"/>
  <c r="D50" i="34"/>
  <c r="D51" i="34"/>
  <c r="D52" i="34"/>
  <c r="D35" i="34"/>
  <c r="D63" i="34"/>
  <c r="D64" i="34"/>
  <c r="D65" i="34"/>
  <c r="D66" i="34"/>
  <c r="D67" i="34"/>
  <c r="D68" i="34"/>
  <c r="D69" i="34"/>
  <c r="D70" i="34"/>
  <c r="D71" i="34"/>
  <c r="D72" i="34"/>
  <c r="D73" i="34"/>
  <c r="D41" i="34"/>
  <c r="D36" i="34"/>
  <c r="D64" i="42"/>
  <c r="E4" i="24"/>
  <c r="D41" i="42"/>
  <c r="H104" i="32" l="1"/>
  <c r="H105" i="32"/>
  <c r="H106" i="32"/>
  <c r="H107" i="32"/>
  <c r="H108" i="32"/>
  <c r="H109" i="32"/>
  <c r="H110" i="32"/>
  <c r="H111" i="32"/>
  <c r="H112" i="32"/>
  <c r="H113" i="32"/>
  <c r="H114" i="32"/>
  <c r="H115" i="32"/>
  <c r="H116" i="32"/>
  <c r="H117" i="32"/>
  <c r="H118" i="32"/>
  <c r="H119" i="32"/>
  <c r="H120" i="32"/>
  <c r="H103" i="32"/>
  <c r="D73" i="35"/>
  <c r="D74" i="35"/>
  <c r="D75" i="35"/>
  <c r="D76" i="35"/>
  <c r="D77" i="35"/>
  <c r="D78" i="35"/>
  <c r="D79" i="35"/>
  <c r="D80" i="35"/>
  <c r="D81" i="35"/>
  <c r="D82" i="35"/>
  <c r="D83" i="35"/>
  <c r="D84" i="35"/>
  <c r="G105" i="33"/>
  <c r="G103" i="33"/>
  <c r="G104" i="33"/>
  <c r="G106" i="33"/>
  <c r="G107" i="33"/>
  <c r="G108" i="33"/>
  <c r="G109" i="33"/>
  <c r="G110" i="33"/>
  <c r="G111" i="33"/>
  <c r="G112" i="33"/>
  <c r="G113" i="33"/>
  <c r="G114" i="33"/>
  <c r="G115" i="33"/>
  <c r="G116" i="33"/>
  <c r="G117" i="33"/>
  <c r="G118" i="33"/>
  <c r="G119" i="33"/>
  <c r="G120" i="33"/>
  <c r="G121" i="33"/>
  <c r="G120" i="44"/>
  <c r="G119" i="44"/>
  <c r="G118" i="44"/>
  <c r="G117" i="44"/>
  <c r="G116" i="44"/>
  <c r="G115" i="44"/>
  <c r="G114" i="44"/>
  <c r="G113" i="44"/>
  <c r="G112" i="44"/>
  <c r="G111" i="44"/>
  <c r="G110" i="44"/>
  <c r="G109" i="44"/>
  <c r="G108" i="44"/>
  <c r="G107" i="44"/>
  <c r="G106" i="44"/>
  <c r="G105" i="44"/>
  <c r="G104" i="44"/>
  <c r="G103" i="44"/>
  <c r="G124" i="43"/>
  <c r="G123" i="43"/>
  <c r="G122" i="43"/>
  <c r="G121" i="43"/>
  <c r="G120" i="43"/>
  <c r="G119" i="43"/>
  <c r="G118" i="43"/>
  <c r="G117" i="43"/>
  <c r="G116" i="43"/>
  <c r="G115" i="43"/>
  <c r="G114" i="43"/>
  <c r="G113" i="43"/>
  <c r="G112" i="43"/>
  <c r="G111" i="43"/>
  <c r="G110" i="43"/>
  <c r="G109" i="43"/>
  <c r="G108" i="43"/>
  <c r="G107" i="43"/>
  <c r="G121" i="25"/>
  <c r="G120" i="25"/>
  <c r="G119" i="25"/>
  <c r="G118" i="25"/>
  <c r="G117" i="25"/>
  <c r="G116" i="25"/>
  <c r="G115" i="25"/>
  <c r="G114" i="25"/>
  <c r="G113" i="25"/>
  <c r="G112" i="25"/>
  <c r="G111" i="25"/>
  <c r="G110" i="25"/>
  <c r="G109" i="25"/>
  <c r="G108" i="25"/>
  <c r="G107" i="25"/>
  <c r="G106" i="25"/>
  <c r="G105" i="25"/>
  <c r="G104" i="25"/>
  <c r="G120" i="39"/>
  <c r="G119" i="39"/>
  <c r="G118" i="39"/>
  <c r="G117" i="39"/>
  <c r="G116" i="39"/>
  <c r="G115" i="39"/>
  <c r="G114" i="39"/>
  <c r="G113" i="39"/>
  <c r="G112" i="39"/>
  <c r="G111" i="39"/>
  <c r="G110" i="39"/>
  <c r="G109" i="39"/>
  <c r="G108" i="39"/>
  <c r="G107" i="39"/>
  <c r="G106" i="39"/>
  <c r="G105" i="39"/>
  <c r="G104" i="39"/>
  <c r="G103" i="39"/>
  <c r="G136" i="34"/>
  <c r="G135" i="34"/>
  <c r="G134" i="34"/>
  <c r="G133" i="34"/>
  <c r="G132" i="34"/>
  <c r="G131" i="34"/>
  <c r="G130" i="34"/>
  <c r="G129" i="34"/>
  <c r="G128" i="34"/>
  <c r="G127" i="34"/>
  <c r="G126" i="34"/>
  <c r="G125" i="34"/>
  <c r="G124" i="34"/>
  <c r="G123" i="34"/>
  <c r="G122" i="34"/>
  <c r="G121" i="34"/>
  <c r="G120" i="34"/>
  <c r="G119" i="34"/>
  <c r="F80" i="36"/>
  <c r="F79" i="36"/>
  <c r="F78" i="36"/>
  <c r="G131" i="42"/>
  <c r="G130" i="42"/>
  <c r="G129" i="42"/>
  <c r="G128" i="42"/>
  <c r="G127" i="42"/>
  <c r="G126" i="42"/>
  <c r="G125" i="42"/>
  <c r="G124" i="42"/>
  <c r="G123" i="42"/>
  <c r="G122" i="42"/>
  <c r="G121" i="42"/>
  <c r="G120" i="42"/>
  <c r="G119" i="42"/>
  <c r="G118" i="42"/>
  <c r="G117" i="42"/>
  <c r="G116" i="42"/>
  <c r="G115" i="42"/>
  <c r="G114" i="42"/>
  <c r="F119" i="41"/>
  <c r="F118" i="41"/>
  <c r="F117" i="41"/>
  <c r="F116" i="41"/>
  <c r="F115" i="41"/>
  <c r="F114" i="41"/>
  <c r="F113" i="41"/>
  <c r="F112" i="41"/>
  <c r="F111" i="41"/>
  <c r="F110" i="41"/>
  <c r="F109" i="41"/>
  <c r="F108" i="41"/>
  <c r="F107" i="41"/>
  <c r="F106" i="41"/>
  <c r="F105" i="41"/>
  <c r="F104" i="41"/>
  <c r="F103" i="41"/>
  <c r="F102" i="41"/>
  <c r="F99" i="40"/>
  <c r="F98" i="40"/>
  <c r="F97" i="40"/>
  <c r="F96" i="40"/>
  <c r="F95" i="40"/>
  <c r="F94" i="40"/>
  <c r="F93" i="40"/>
  <c r="F92" i="40"/>
  <c r="F91" i="40"/>
  <c r="F90" i="40"/>
  <c r="F89" i="40"/>
  <c r="F88" i="40"/>
  <c r="F87" i="40"/>
  <c r="F86" i="40"/>
  <c r="F85" i="40"/>
  <c r="F84" i="40"/>
  <c r="F83" i="40"/>
  <c r="F82" i="40"/>
  <c r="F121" i="38"/>
  <c r="F120" i="38"/>
  <c r="F119" i="38"/>
  <c r="F118" i="38"/>
  <c r="F117" i="38"/>
  <c r="F116" i="38"/>
  <c r="F115" i="38"/>
  <c r="F114" i="38"/>
  <c r="F113" i="38"/>
  <c r="F112" i="38"/>
  <c r="F111" i="38"/>
  <c r="F110" i="38"/>
  <c r="F109" i="38"/>
  <c r="F108" i="38"/>
  <c r="F107" i="38"/>
  <c r="F106" i="38"/>
  <c r="F105" i="38"/>
  <c r="F104" i="38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42" i="32"/>
  <c r="D43" i="32"/>
  <c r="D44" i="32"/>
  <c r="D45" i="32"/>
  <c r="D46" i="32"/>
  <c r="D47" i="32"/>
  <c r="D48" i="32"/>
  <c r="D49" i="32"/>
  <c r="D50" i="32"/>
  <c r="D61" i="32"/>
  <c r="D60" i="32"/>
  <c r="D59" i="32"/>
  <c r="D58" i="32"/>
  <c r="D57" i="32"/>
  <c r="D56" i="32"/>
  <c r="D55" i="32"/>
  <c r="D54" i="32"/>
  <c r="D53" i="32"/>
  <c r="D52" i="32"/>
  <c r="D51" i="32"/>
  <c r="C31" i="38"/>
  <c r="C29" i="37"/>
  <c r="D63" i="35"/>
  <c r="D64" i="35"/>
  <c r="D67" i="35"/>
  <c r="D68" i="35"/>
  <c r="D69" i="35"/>
  <c r="D70" i="35"/>
  <c r="D71" i="35"/>
  <c r="D72" i="35"/>
  <c r="D85" i="35"/>
  <c r="D86" i="35"/>
  <c r="D87" i="35"/>
  <c r="D66" i="35"/>
  <c r="D62" i="35"/>
  <c r="D65" i="35"/>
  <c r="H12" i="24" l="1"/>
  <c r="G12" i="24"/>
  <c r="F12" i="24"/>
  <c r="E12" i="24"/>
  <c r="D12" i="24"/>
  <c r="D27" i="44"/>
  <c r="D28" i="44"/>
  <c r="D29" i="44"/>
  <c r="D30" i="44"/>
  <c r="D31" i="44"/>
  <c r="D32" i="44"/>
  <c r="D33" i="44"/>
  <c r="D34" i="44"/>
  <c r="D35" i="44"/>
  <c r="D36" i="44"/>
  <c r="D37" i="44"/>
  <c r="D38" i="44"/>
  <c r="D39" i="44"/>
  <c r="D40" i="44"/>
  <c r="D41" i="44"/>
  <c r="D42" i="44"/>
  <c r="D43" i="44"/>
  <c r="D44" i="44"/>
  <c r="D45" i="44"/>
  <c r="D46" i="44"/>
  <c r="D47" i="44"/>
  <c r="D48" i="44"/>
  <c r="D49" i="44"/>
  <c r="D50" i="44"/>
  <c r="D51" i="44"/>
  <c r="D52" i="44"/>
  <c r="D53" i="44"/>
  <c r="D54" i="44"/>
  <c r="D55" i="44"/>
  <c r="D56" i="44"/>
  <c r="D57" i="44"/>
  <c r="D58" i="44"/>
  <c r="D59" i="44"/>
  <c r="D60" i="44"/>
  <c r="D61" i="44"/>
  <c r="H11" i="24"/>
  <c r="G11" i="24"/>
  <c r="F11" i="24"/>
  <c r="E11" i="24"/>
  <c r="D11" i="24"/>
  <c r="D27" i="43"/>
  <c r="D28" i="43"/>
  <c r="D30" i="43"/>
  <c r="D31" i="43"/>
  <c r="D32" i="43"/>
  <c r="D33" i="43"/>
  <c r="D34" i="43"/>
  <c r="D40" i="43"/>
  <c r="D41" i="43"/>
  <c r="D42" i="43"/>
  <c r="D43" i="43"/>
  <c r="D44" i="43"/>
  <c r="D45" i="43"/>
  <c r="D46" i="43"/>
  <c r="D47" i="43"/>
  <c r="D48" i="43"/>
  <c r="D49" i="43"/>
  <c r="D50" i="43"/>
  <c r="D51" i="43"/>
  <c r="D52" i="43"/>
  <c r="D53" i="43"/>
  <c r="D54" i="43"/>
  <c r="D55" i="43"/>
  <c r="D56" i="43"/>
  <c r="D57" i="43"/>
  <c r="D58" i="43"/>
  <c r="D59" i="43"/>
  <c r="D60" i="43"/>
  <c r="D61" i="43"/>
  <c r="D62" i="43"/>
  <c r="D63" i="43"/>
  <c r="F10" i="24"/>
  <c r="E10" i="24"/>
  <c r="D42" i="42"/>
  <c r="D38" i="42"/>
  <c r="D36" i="42"/>
  <c r="D39" i="42"/>
  <c r="D27" i="42"/>
  <c r="D28" i="42"/>
  <c r="D29" i="42"/>
  <c r="D30" i="42"/>
  <c r="D31" i="42"/>
  <c r="D32" i="42"/>
  <c r="D33" i="42"/>
  <c r="D34" i="42"/>
  <c r="D35" i="42"/>
  <c r="D40" i="42"/>
  <c r="D43" i="42"/>
  <c r="D37" i="42"/>
  <c r="D44" i="42"/>
  <c r="D45" i="42"/>
  <c r="D46" i="42"/>
  <c r="D47" i="42"/>
  <c r="D48" i="42"/>
  <c r="D49" i="42"/>
  <c r="D50" i="42"/>
  <c r="D51" i="42"/>
  <c r="D52" i="42"/>
  <c r="D53" i="42"/>
  <c r="D54" i="42"/>
  <c r="D55" i="42"/>
  <c r="D56" i="42"/>
  <c r="D57" i="42"/>
  <c r="D62" i="42"/>
  <c r="H9" i="24"/>
  <c r="G9" i="24"/>
  <c r="F9" i="24"/>
  <c r="E9" i="24"/>
  <c r="D9" i="24"/>
  <c r="C27" i="41"/>
  <c r="C28" i="41"/>
  <c r="C29" i="41"/>
  <c r="C30" i="41"/>
  <c r="C31" i="41"/>
  <c r="C32" i="41"/>
  <c r="C33" i="41"/>
  <c r="C34" i="41"/>
  <c r="C35" i="41"/>
  <c r="C37" i="41"/>
  <c r="C38" i="41"/>
  <c r="C39" i="41"/>
  <c r="C40" i="41"/>
  <c r="C41" i="41"/>
  <c r="C42" i="41"/>
  <c r="C43" i="41"/>
  <c r="C44" i="41"/>
  <c r="C45" i="41"/>
  <c r="C46" i="41"/>
  <c r="C47" i="41"/>
  <c r="C48" i="41"/>
  <c r="C49" i="41"/>
  <c r="C50" i="41"/>
  <c r="C51" i="41"/>
  <c r="C52" i="41"/>
  <c r="C53" i="41"/>
  <c r="C54" i="41"/>
  <c r="C55" i="41"/>
  <c r="C56" i="41"/>
  <c r="C57" i="41"/>
  <c r="C58" i="41"/>
  <c r="C59" i="41"/>
  <c r="C60" i="41"/>
  <c r="H8" i="24"/>
  <c r="G8" i="24"/>
  <c r="F8" i="24"/>
  <c r="E8" i="24"/>
  <c r="D8" i="24"/>
  <c r="C34" i="40"/>
  <c r="C37" i="40"/>
  <c r="C31" i="40"/>
  <c r="C32" i="40"/>
  <c r="C35" i="40"/>
  <c r="C29" i="40"/>
  <c r="C36" i="40"/>
  <c r="C33" i="40"/>
  <c r="C49" i="40"/>
  <c r="C48" i="40"/>
  <c r="C28" i="40"/>
  <c r="C47" i="40"/>
  <c r="C52" i="40"/>
  <c r="C50" i="40"/>
  <c r="C27" i="40"/>
  <c r="C30" i="40"/>
  <c r="C43" i="40"/>
  <c r="C46" i="40"/>
  <c r="C45" i="40"/>
  <c r="C44" i="40"/>
  <c r="C51" i="40"/>
  <c r="C42" i="40"/>
  <c r="C38" i="40"/>
  <c r="C39" i="40"/>
  <c r="C40" i="40"/>
  <c r="C41" i="40"/>
  <c r="C58" i="40"/>
  <c r="C59" i="40"/>
  <c r="C60" i="40"/>
  <c r="C61" i="40"/>
  <c r="F7" i="24"/>
  <c r="E7" i="24"/>
  <c r="D27" i="39"/>
  <c r="D28" i="39"/>
  <c r="D29" i="39"/>
  <c r="D30" i="39"/>
  <c r="D31" i="39"/>
  <c r="D32" i="39"/>
  <c r="D33" i="39"/>
  <c r="D34" i="39"/>
  <c r="D35" i="39"/>
  <c r="D36" i="39"/>
  <c r="D37" i="39"/>
  <c r="D38" i="39"/>
  <c r="D39" i="39"/>
  <c r="D40" i="39"/>
  <c r="D41" i="39"/>
  <c r="D42" i="39"/>
  <c r="D43" i="39"/>
  <c r="D44" i="39"/>
  <c r="D45" i="39"/>
  <c r="D46" i="39"/>
  <c r="D47" i="39"/>
  <c r="D48" i="39"/>
  <c r="D49" i="39"/>
  <c r="D50" i="39"/>
  <c r="D51" i="39"/>
  <c r="D52" i="39"/>
  <c r="D53" i="39"/>
  <c r="D54" i="39"/>
  <c r="D55" i="39"/>
  <c r="D56" i="39"/>
  <c r="D57" i="39"/>
  <c r="D58" i="39"/>
  <c r="D59" i="39"/>
  <c r="D60" i="39"/>
  <c r="D61" i="39"/>
  <c r="C27" i="38"/>
  <c r="C28" i="38"/>
  <c r="C29" i="38"/>
  <c r="C30" i="38"/>
  <c r="C32" i="38"/>
  <c r="C33" i="38"/>
  <c r="C34" i="38"/>
  <c r="C35" i="38"/>
  <c r="C36" i="38"/>
  <c r="C37" i="38"/>
  <c r="C38" i="38"/>
  <c r="C39" i="38"/>
  <c r="C40" i="38"/>
  <c r="C41" i="38"/>
  <c r="C42" i="38"/>
  <c r="C43" i="38"/>
  <c r="C44" i="38"/>
  <c r="C45" i="38"/>
  <c r="C46" i="38"/>
  <c r="C47" i="38"/>
  <c r="C48" i="38"/>
  <c r="C49" i="38"/>
  <c r="C50" i="38"/>
  <c r="C51" i="38"/>
  <c r="C52" i="38"/>
  <c r="C53" i="38"/>
  <c r="C54" i="38"/>
  <c r="C55" i="38"/>
  <c r="C56" i="38"/>
  <c r="C57" i="38"/>
  <c r="C58" i="38"/>
  <c r="C59" i="38"/>
  <c r="C60" i="38"/>
  <c r="C61" i="38"/>
  <c r="H6" i="24"/>
  <c r="G6" i="24"/>
  <c r="D6" i="24"/>
  <c r="C27" i="37"/>
  <c r="C28" i="37"/>
  <c r="C30" i="37"/>
  <c r="C31" i="37"/>
  <c r="C32" i="37"/>
  <c r="C33" i="37"/>
  <c r="C34" i="37"/>
  <c r="C35" i="37"/>
  <c r="C36" i="37"/>
  <c r="C37" i="37"/>
  <c r="C38" i="37"/>
  <c r="C39" i="37"/>
  <c r="C40" i="37"/>
  <c r="C41" i="37"/>
  <c r="C42" i="37"/>
  <c r="C43" i="37"/>
  <c r="C44" i="37"/>
  <c r="C45" i="37"/>
  <c r="C46" i="37"/>
  <c r="C47" i="37"/>
  <c r="C48" i="37"/>
  <c r="C49" i="37"/>
  <c r="C50" i="37"/>
  <c r="C51" i="37"/>
  <c r="C52" i="37"/>
  <c r="C53" i="37"/>
  <c r="C54" i="37"/>
  <c r="C55" i="37"/>
  <c r="C56" i="37"/>
  <c r="C57" i="37"/>
  <c r="C58" i="37"/>
  <c r="C59" i="37"/>
  <c r="C60" i="37"/>
  <c r="C61" i="37"/>
  <c r="H4" i="24"/>
  <c r="G4" i="24"/>
  <c r="F4" i="24"/>
  <c r="D4" i="24"/>
  <c r="C28" i="36"/>
  <c r="C29" i="36"/>
  <c r="C30" i="36"/>
  <c r="C31" i="36"/>
  <c r="C32" i="36"/>
  <c r="C33" i="36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48" i="36"/>
  <c r="C49" i="36"/>
  <c r="C50" i="36"/>
  <c r="C51" i="36"/>
  <c r="C52" i="36"/>
  <c r="C53" i="36"/>
  <c r="C54" i="36"/>
  <c r="C55" i="36"/>
  <c r="C56" i="36"/>
  <c r="C57" i="36"/>
  <c r="C58" i="36"/>
  <c r="C59" i="36"/>
  <c r="C60" i="36"/>
  <c r="C61" i="36"/>
  <c r="C62" i="36"/>
  <c r="C63" i="36"/>
  <c r="H3" i="24"/>
  <c r="G3" i="24"/>
  <c r="F3" i="24"/>
  <c r="E3" i="24"/>
  <c r="D3" i="24"/>
  <c r="D56" i="35"/>
  <c r="D57" i="35"/>
  <c r="D27" i="35"/>
  <c r="D32" i="35"/>
  <c r="D54" i="35"/>
  <c r="D33" i="35"/>
  <c r="D34" i="35"/>
  <c r="D35" i="35"/>
  <c r="D36" i="35"/>
  <c r="D39" i="35"/>
  <c r="D40" i="35"/>
  <c r="D42" i="35"/>
  <c r="D45" i="35"/>
  <c r="D51" i="35"/>
  <c r="D28" i="35"/>
  <c r="D52" i="35"/>
  <c r="D49" i="35"/>
  <c r="D46" i="35"/>
  <c r="D47" i="35"/>
  <c r="D48" i="35"/>
  <c r="D29" i="35"/>
  <c r="D53" i="35"/>
  <c r="D31" i="35"/>
  <c r="D41" i="35"/>
  <c r="D43" i="35"/>
  <c r="D44" i="35"/>
  <c r="D50" i="35"/>
  <c r="D37" i="35"/>
  <c r="D38" i="35"/>
  <c r="D30" i="35"/>
  <c r="D55" i="35"/>
  <c r="D58" i="35"/>
  <c r="D59" i="35"/>
  <c r="D60" i="35"/>
  <c r="D61" i="35"/>
  <c r="H2" i="24"/>
  <c r="G2" i="24"/>
  <c r="F2" i="24"/>
  <c r="E2" i="24"/>
  <c r="D2" i="24"/>
  <c r="D31" i="25"/>
  <c r="G5" i="24"/>
  <c r="H5" i="24"/>
  <c r="F5" i="24"/>
  <c r="E5" i="24"/>
  <c r="D5" i="24"/>
  <c r="D32" i="25"/>
  <c r="D31" i="33"/>
  <c r="D32" i="33"/>
  <c r="D30" i="33"/>
  <c r="D27" i="33"/>
  <c r="D40" i="33"/>
  <c r="D28" i="33"/>
  <c r="D37" i="33"/>
  <c r="D36" i="33"/>
  <c r="D38" i="33"/>
  <c r="D39" i="33"/>
  <c r="D41" i="33"/>
  <c r="D42" i="33"/>
  <c r="D43" i="33"/>
  <c r="D35" i="33"/>
  <c r="D29" i="33"/>
  <c r="D33" i="33"/>
  <c r="D34" i="33"/>
  <c r="D44" i="33"/>
  <c r="D45" i="33"/>
  <c r="D46" i="33"/>
  <c r="D47" i="33"/>
  <c r="D48" i="33"/>
  <c r="D49" i="33"/>
  <c r="D50" i="33"/>
  <c r="D51" i="33"/>
  <c r="D52" i="33"/>
  <c r="D53" i="33"/>
  <c r="D54" i="33"/>
  <c r="D55" i="33"/>
  <c r="D56" i="33"/>
  <c r="D57" i="33"/>
  <c r="D58" i="33"/>
  <c r="D59" i="33"/>
  <c r="D60" i="33"/>
  <c r="D61" i="33"/>
  <c r="H13" i="24"/>
  <c r="G13" i="24"/>
  <c r="E13" i="24"/>
  <c r="F13" i="24"/>
  <c r="D13" i="24"/>
  <c r="D30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28" i="25"/>
  <c r="D29" i="25"/>
  <c r="D27" i="25"/>
  <c r="O28" i="2"/>
  <c r="L32" i="2"/>
  <c r="M27" i="2"/>
  <c r="L28" i="2"/>
  <c r="K28" i="2"/>
  <c r="F11" i="22"/>
  <c r="B11" i="22"/>
  <c r="B7" i="22"/>
  <c r="E26" i="21"/>
  <c r="C26" i="21"/>
  <c r="L14" i="3"/>
  <c r="J16" i="3"/>
  <c r="D16" i="3"/>
  <c r="E15" i="3" s="1"/>
  <c r="K10" i="9"/>
  <c r="M26" i="3"/>
  <c r="D83" i="16"/>
  <c r="D85" i="16" s="1"/>
  <c r="C85" i="16"/>
  <c r="C86" i="16"/>
  <c r="F86" i="16" s="1"/>
  <c r="D86" i="16"/>
  <c r="C87" i="16"/>
  <c r="C88" i="16"/>
  <c r="C89" i="16"/>
  <c r="D87" i="16"/>
  <c r="D88" i="16"/>
  <c r="D89" i="16"/>
  <c r="C71" i="16"/>
  <c r="F71" i="16" s="1"/>
  <c r="E34" i="16"/>
  <c r="C38" i="16" s="1"/>
  <c r="F38" i="16" s="1"/>
  <c r="D78" i="16"/>
  <c r="D73" i="16"/>
  <c r="E72" i="16"/>
  <c r="B72" i="16"/>
  <c r="D67" i="16"/>
  <c r="E65" i="16"/>
  <c r="E66" i="16" s="1"/>
  <c r="B65" i="16"/>
  <c r="B66" i="16" s="1"/>
  <c r="C66" i="16" s="1"/>
  <c r="D60" i="16"/>
  <c r="E57" i="16"/>
  <c r="E58" i="16" s="1"/>
  <c r="E59" i="16" s="1"/>
  <c r="B57" i="16"/>
  <c r="B58" i="16" s="1"/>
  <c r="C58" i="16" s="1"/>
  <c r="D52" i="16"/>
  <c r="E48" i="16"/>
  <c r="E49" i="16" s="1"/>
  <c r="E50" i="16" s="1"/>
  <c r="E51" i="16" s="1"/>
  <c r="B48" i="16"/>
  <c r="B49" i="16" s="1"/>
  <c r="C49" i="16" s="1"/>
  <c r="D43" i="16"/>
  <c r="E38" i="16"/>
  <c r="E39" i="16" s="1"/>
  <c r="E40" i="16" s="1"/>
  <c r="E41" i="16" s="1"/>
  <c r="E42" i="16" s="1"/>
  <c r="E14" i="3" l="1"/>
  <c r="E13" i="3"/>
  <c r="E12" i="3"/>
  <c r="C41" i="16"/>
  <c r="F41" i="16" s="1"/>
  <c r="F85" i="16"/>
  <c r="C37" i="16"/>
  <c r="F37" i="16" s="1"/>
  <c r="F43" i="16" s="1"/>
  <c r="C47" i="16"/>
  <c r="F47" i="16" s="1"/>
  <c r="C72" i="16"/>
  <c r="C42" i="16"/>
  <c r="F42" i="16" s="1"/>
  <c r="C48" i="16"/>
  <c r="F48" i="16" s="1"/>
  <c r="F88" i="16"/>
  <c r="F87" i="16"/>
  <c r="C39" i="16"/>
  <c r="F39" i="16" s="1"/>
  <c r="C77" i="16"/>
  <c r="F77" i="16" s="1"/>
  <c r="F78" i="16" s="1"/>
  <c r="F89" i="16"/>
  <c r="C40" i="16"/>
  <c r="F40" i="16" s="1"/>
  <c r="C56" i="16"/>
  <c r="F56" i="16" s="1"/>
  <c r="C64" i="16"/>
  <c r="F64" i="16" s="1"/>
  <c r="C57" i="16"/>
  <c r="F57" i="16" s="1"/>
  <c r="F72" i="16"/>
  <c r="F73" i="16" s="1"/>
  <c r="C65" i="16"/>
  <c r="F65" i="16" s="1"/>
  <c r="F66" i="16"/>
  <c r="B59" i="16"/>
  <c r="F58" i="16"/>
  <c r="B50" i="16"/>
  <c r="C50" i="16" s="1"/>
  <c r="F49" i="16"/>
  <c r="C59" i="16" l="1"/>
  <c r="F59" i="16" s="1"/>
  <c r="F60" i="16" s="1"/>
  <c r="F67" i="16"/>
  <c r="B51" i="16"/>
  <c r="F50" i="16"/>
  <c r="C51" i="16" l="1"/>
  <c r="F51" i="16" s="1"/>
  <c r="F52" i="16" s="1"/>
  <c r="A12" i="9" l="1"/>
  <c r="F7" i="13"/>
  <c r="D7" i="13"/>
  <c r="F8" i="13"/>
  <c r="H22" i="13"/>
  <c r="J22" i="13" s="1"/>
  <c r="L22" i="13" s="1"/>
  <c r="H23" i="13"/>
  <c r="J23" i="13" s="1"/>
  <c r="L23" i="13" s="1"/>
  <c r="D23" i="13"/>
  <c r="D22" i="13"/>
  <c r="F15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H13" i="13"/>
  <c r="H12" i="13"/>
  <c r="H10" i="13"/>
  <c r="H11" i="13"/>
  <c r="F4" i="13"/>
  <c r="F5" i="13"/>
  <c r="F2" i="13"/>
  <c r="D15" i="13" s="1"/>
  <c r="F3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D6" i="13"/>
  <c r="T6" i="13" s="1"/>
  <c r="C34" i="12"/>
  <c r="E15" i="13" l="1"/>
  <c r="E7" i="13"/>
  <c r="F16" i="13"/>
  <c r="E16" i="13" s="1"/>
  <c r="F6" i="13"/>
  <c r="E8" i="13" s="1"/>
  <c r="D8" i="13" s="1"/>
  <c r="K6" i="13"/>
  <c r="O6" i="13"/>
  <c r="S6" i="13"/>
  <c r="I6" i="13"/>
  <c r="M6" i="13"/>
  <c r="Q6" i="13"/>
  <c r="U6" i="13"/>
  <c r="J6" i="13"/>
  <c r="N6" i="13"/>
  <c r="R6" i="13"/>
  <c r="V6" i="13"/>
  <c r="H6" i="13"/>
  <c r="L6" i="13"/>
  <c r="P6" i="13"/>
  <c r="I11" i="4"/>
  <c r="Q110" i="9"/>
  <c r="E6" i="13" l="1"/>
  <c r="E18" i="13"/>
</calcChain>
</file>

<file path=xl/sharedStrings.xml><?xml version="1.0" encoding="utf-8"?>
<sst xmlns="http://schemas.openxmlformats.org/spreadsheetml/2006/main" count="4965" uniqueCount="1505">
  <si>
    <t>Group</t>
  </si>
  <si>
    <t>Company</t>
  </si>
  <si>
    <t>Corporate Key</t>
  </si>
  <si>
    <t>User Name</t>
  </si>
  <si>
    <t>Password</t>
  </si>
  <si>
    <t>What City was i born in?</t>
  </si>
  <si>
    <t>Answer</t>
  </si>
  <si>
    <t>Email</t>
  </si>
  <si>
    <t>ACN</t>
  </si>
  <si>
    <t>abn</t>
  </si>
  <si>
    <t>TFN</t>
  </si>
  <si>
    <t>Established Date</t>
  </si>
  <si>
    <t>Director</t>
  </si>
  <si>
    <t>Review Date</t>
  </si>
  <si>
    <t>Amount Owing</t>
  </si>
  <si>
    <t>Amount of Shares</t>
  </si>
  <si>
    <t>Shareholder</t>
  </si>
  <si>
    <t>Registered</t>
  </si>
  <si>
    <t>Principle Place of Business</t>
  </si>
  <si>
    <t>Charity</t>
  </si>
  <si>
    <t>XERO</t>
  </si>
  <si>
    <t>Homes of Hope Limited</t>
  </si>
  <si>
    <t>homesofhopeltd</t>
  </si>
  <si>
    <t>Bl3ss3d.</t>
  </si>
  <si>
    <t>What City was I Born In?</t>
  </si>
  <si>
    <t>Adelaide</t>
  </si>
  <si>
    <t>hello@joii.org.au</t>
  </si>
  <si>
    <t>643 194 156</t>
  </si>
  <si>
    <t>22 643 194 156</t>
  </si>
  <si>
    <t>639 296 766</t>
  </si>
  <si>
    <t>David , David and Aaron</t>
  </si>
  <si>
    <t>Public</t>
  </si>
  <si>
    <t>OFFICE 6 / 2404 LOGAN ROAD EIGHT MILE PLAINS QLD 4113</t>
  </si>
  <si>
    <t>46 Aspire Street Rochedale Qld 4123</t>
  </si>
  <si>
    <t>nothing</t>
  </si>
  <si>
    <t>Impact Homes Pty Ltd (formerly Whoa2Go)</t>
  </si>
  <si>
    <t>ordered</t>
  </si>
  <si>
    <t>093 693 415</t>
  </si>
  <si>
    <t>25 093 693 415</t>
  </si>
  <si>
    <t>773 195 351</t>
  </si>
  <si>
    <t>Aaron Glowka</t>
  </si>
  <si>
    <t>13/07/2022</t>
  </si>
  <si>
    <t>Homes Of Hope</t>
  </si>
  <si>
    <t>Livin The Dream</t>
  </si>
  <si>
    <t>livinthedream</t>
  </si>
  <si>
    <t>142 372 245</t>
  </si>
  <si>
    <t>95 142 372 245</t>
  </si>
  <si>
    <t>913 810 842</t>
  </si>
  <si>
    <t>James Jonathan Harder</t>
  </si>
  <si>
    <t>Love Your World</t>
  </si>
  <si>
    <t>158 841 180</t>
  </si>
  <si>
    <t>91 158 841 180</t>
  </si>
  <si>
    <t>942 944 937</t>
  </si>
  <si>
    <t>OFFICE 6 / 2404 LOGAN ROAD EIGHT MILE PLAINS QLD 4114</t>
  </si>
  <si>
    <t>Strike Off</t>
  </si>
  <si>
    <t>Next Steps Global</t>
  </si>
  <si>
    <t>nextstepsglobalptyltd</t>
  </si>
  <si>
    <t>629 932 887</t>
  </si>
  <si>
    <t>13 629 932 887</t>
  </si>
  <si>
    <t>570 952 809</t>
  </si>
  <si>
    <t>Robert harder</t>
  </si>
  <si>
    <t>The Promise Qld</t>
  </si>
  <si>
    <t>158 275 640</t>
  </si>
  <si>
    <t>53 158 275 640</t>
  </si>
  <si>
    <t>935 906 938</t>
  </si>
  <si>
    <t>Rachel Harder</t>
  </si>
  <si>
    <t>R and D</t>
  </si>
  <si>
    <t>Money Maid (formerly Harder Money)</t>
  </si>
  <si>
    <t>159 631 240</t>
  </si>
  <si>
    <t>77 159 631 240</t>
  </si>
  <si>
    <t>938 235 185</t>
  </si>
  <si>
    <t>25/07/2012</t>
  </si>
  <si>
    <t>Money Matters 20, OPen Gold 16, Joii 25 adn Duncan Miller 39</t>
  </si>
  <si>
    <t>Want to close</t>
  </si>
  <si>
    <t>Money Matters</t>
  </si>
  <si>
    <t>605 103 615</t>
  </si>
  <si>
    <t>63 605 103 615</t>
  </si>
  <si>
    <t>635 209 293</t>
  </si>
  <si>
    <t xml:space="preserve"> </t>
  </si>
  <si>
    <t>Carry Forward losses</t>
  </si>
  <si>
    <t>Franking Balance</t>
  </si>
  <si>
    <t>Bank Name</t>
  </si>
  <si>
    <t>BSB</t>
  </si>
  <si>
    <t>Account</t>
  </si>
  <si>
    <t>Activity</t>
  </si>
  <si>
    <t>what to Do</t>
  </si>
  <si>
    <t>MYOB</t>
  </si>
  <si>
    <t>A Clement Developments Qld</t>
  </si>
  <si>
    <t>138 613 046</t>
  </si>
  <si>
    <t>95 138 613 046</t>
  </si>
  <si>
    <t>938 926 367</t>
  </si>
  <si>
    <t>31/07/2009</t>
  </si>
  <si>
    <t>Robert Harder</t>
  </si>
  <si>
    <t>Andrew and Ruth</t>
  </si>
  <si>
    <t>this is for Andrews Family Trust</t>
  </si>
  <si>
    <t>Close If Possible</t>
  </si>
  <si>
    <t>Harder Developments Pty Ltd</t>
  </si>
  <si>
    <t>073 411 275</t>
  </si>
  <si>
    <t>not registered</t>
  </si>
  <si>
    <t>26/03/1996</t>
  </si>
  <si>
    <t>Not Keeping</t>
  </si>
  <si>
    <t>old trustee th eharder family trust and did some share trading</t>
  </si>
  <si>
    <t>Deregister</t>
  </si>
  <si>
    <t>JRKA Pty Ltd</t>
  </si>
  <si>
    <t>Deregister this company</t>
  </si>
  <si>
    <t>635 352 671</t>
  </si>
  <si>
    <t>Team Harder</t>
  </si>
  <si>
    <t>Gen2612</t>
  </si>
  <si>
    <t>658 463 659</t>
  </si>
  <si>
    <t>47 658 463 659</t>
  </si>
  <si>
    <t>605 934 566</t>
  </si>
  <si>
    <t>31/03/2022</t>
  </si>
  <si>
    <t>Rachel harder</t>
  </si>
  <si>
    <t>31/03/2023</t>
  </si>
  <si>
    <t>ATF Team Harder Family Trust</t>
  </si>
  <si>
    <t>160 ALPERTON ROAD , BURBANK QLD 4156 , Australia</t>
  </si>
  <si>
    <t>Bucket Company</t>
  </si>
  <si>
    <t>Harder Family</t>
  </si>
  <si>
    <t>harderfamilyrach</t>
  </si>
  <si>
    <t>159 632 087</t>
  </si>
  <si>
    <t>71 159 632 087</t>
  </si>
  <si>
    <t>939 058 021</t>
  </si>
  <si>
    <t>Trustee for The Harder Family Trust</t>
  </si>
  <si>
    <t>Harder Family ATF The Harder Family Trust</t>
  </si>
  <si>
    <t>The Harder Family Trust</t>
  </si>
  <si>
    <t>084 435</t>
  </si>
  <si>
    <t>20 459 034 329</t>
  </si>
  <si>
    <t>77 583 528</t>
  </si>
  <si>
    <t>Family Trust</t>
  </si>
  <si>
    <t xml:space="preserve">Prov1322 Global   </t>
  </si>
  <si>
    <t>658 602 478</t>
  </si>
  <si>
    <t>34 658 602 478</t>
  </si>
  <si>
    <t>606 189 260</t>
  </si>
  <si>
    <t>Prov1322 Global ATF Team Harder Family Trust</t>
  </si>
  <si>
    <t>Team Harder Family Trust</t>
  </si>
  <si>
    <t>94 633 472 433</t>
  </si>
  <si>
    <t>605 725 602</t>
  </si>
  <si>
    <t>LATL</t>
  </si>
  <si>
    <t>hello@lyw.org.au</t>
  </si>
  <si>
    <t>145 576 138</t>
  </si>
  <si>
    <t>68 145 576 138</t>
  </si>
  <si>
    <t>918 281 149</t>
  </si>
  <si>
    <t>ATF The Harder Family Trust</t>
  </si>
  <si>
    <t>93 373 928 858</t>
  </si>
  <si>
    <t>173 955 316</t>
  </si>
  <si>
    <t>171 927 425</t>
  </si>
  <si>
    <t>Jared Harder</t>
  </si>
  <si>
    <t>Grace Harder</t>
  </si>
  <si>
    <t>Sophie Harder</t>
  </si>
  <si>
    <t>Team Harder Super Fund GROUP</t>
  </si>
  <si>
    <t xml:space="preserve">Team Harder  </t>
  </si>
  <si>
    <t>645 359 495</t>
  </si>
  <si>
    <t>23/10/2020</t>
  </si>
  <si>
    <t>Rob and Rach</t>
  </si>
  <si>
    <t>Robert and Rachel</t>
  </si>
  <si>
    <t>Dave</t>
  </si>
  <si>
    <t>Team Harder ATF Team Harder Super Fund</t>
  </si>
  <si>
    <t>Team Harder Super Fund</t>
  </si>
  <si>
    <t>083 052</t>
  </si>
  <si>
    <t>17 209 120 631</t>
  </si>
  <si>
    <t>534 254 470</t>
  </si>
  <si>
    <t>Team Harder Super Investments</t>
  </si>
  <si>
    <t>658 706 597</t>
  </si>
  <si>
    <t>32 658 706 597</t>
  </si>
  <si>
    <t>608 117 219</t>
  </si>
  <si>
    <t>ATF Team Harder Super Fund</t>
  </si>
  <si>
    <t>Investment for Super Fund</t>
  </si>
  <si>
    <t>AR Clement Investments</t>
  </si>
  <si>
    <t>145 575 659</t>
  </si>
  <si>
    <t>42 145 575 659</t>
  </si>
  <si>
    <t>918 280 369</t>
  </si>
  <si>
    <t>this is to do developments in going forward</t>
  </si>
  <si>
    <t>JRANDL Pty Ltd</t>
  </si>
  <si>
    <t>JRANDL</t>
  </si>
  <si>
    <t>610 667 555</t>
  </si>
  <si>
    <t>55 610 667 555</t>
  </si>
  <si>
    <t>977 018 668</t>
  </si>
  <si>
    <t>grouping THSI</t>
  </si>
  <si>
    <t>W2G Assets</t>
  </si>
  <si>
    <t xml:space="preserve">87081049
</t>
  </si>
  <si>
    <t>w2gasset</t>
  </si>
  <si>
    <t>092 659 688</t>
  </si>
  <si>
    <t>59 092 659 688</t>
  </si>
  <si>
    <t>726 881 624</t>
  </si>
  <si>
    <t>Property Alternative (AUS) Pty Ltd</t>
  </si>
  <si>
    <t>610 974 019</t>
  </si>
  <si>
    <t>34 610 974 019</t>
  </si>
  <si>
    <t>986 555 939</t>
  </si>
  <si>
    <t>25/02/2016</t>
  </si>
  <si>
    <t>*Date</t>
  </si>
  <si>
    <t>*Amount</t>
  </si>
  <si>
    <t>Payee</t>
  </si>
  <si>
    <t>Description</t>
  </si>
  <si>
    <t>Reference</t>
  </si>
  <si>
    <t>Check Number</t>
  </si>
  <si>
    <t>All Companies</t>
  </si>
  <si>
    <t xml:space="preserve">Loan Agreement </t>
  </si>
  <si>
    <t>Things that must be filed</t>
  </si>
  <si>
    <t xml:space="preserve">W2G Assets Pty Ltd </t>
  </si>
  <si>
    <t>Security Deed</t>
  </si>
  <si>
    <t>If is a discresionary trust , need to make the trust distribution every year before 30th June</t>
  </si>
  <si>
    <t>ACN:</t>
  </si>
  <si>
    <t>ABN:</t>
  </si>
  <si>
    <t>TFN:</t>
  </si>
  <si>
    <t>Company Setup</t>
  </si>
  <si>
    <t>All Bank Statement for the year</t>
  </si>
  <si>
    <t>Date Incorporated</t>
  </si>
  <si>
    <t>Shares on Issue</t>
  </si>
  <si>
    <t xml:space="preserve">Solvency ASIC </t>
  </si>
  <si>
    <t>all assets purchases receipts</t>
  </si>
  <si>
    <t>Purpose:</t>
  </si>
  <si>
    <t>Is it a Trustee</t>
  </si>
  <si>
    <t>No</t>
  </si>
  <si>
    <t>Constitution</t>
  </si>
  <si>
    <t>all sales of assets</t>
  </si>
  <si>
    <t>Trust Name / Trustee</t>
  </si>
  <si>
    <t>Members</t>
  </si>
  <si>
    <t>all distribution if company</t>
  </si>
  <si>
    <t>Registered office</t>
  </si>
  <si>
    <t>MAGNUS BUSINESS ADVISERS AND ACCOUNTANTS, UNIT 10 , 39 OLD CLEVELAND ROAD , CAPALABA QLD 4157</t>
  </si>
  <si>
    <t>Principal place of business</t>
  </si>
  <si>
    <t>160 Alperton Road, Burbank QLD 4156</t>
  </si>
  <si>
    <t>Structure</t>
  </si>
  <si>
    <t>all company minutes</t>
  </si>
  <si>
    <t>From</t>
  </si>
  <si>
    <t>ATO Tax Return</t>
  </si>
  <si>
    <t>ASIC showing company info on 30th june</t>
  </si>
  <si>
    <t>Current Director</t>
  </si>
  <si>
    <t>Rachel Anne Harder</t>
  </si>
  <si>
    <t>Asset</t>
  </si>
  <si>
    <t>All ASIC Documents</t>
  </si>
  <si>
    <t>Current Secretary</t>
  </si>
  <si>
    <t>Dividends</t>
  </si>
  <si>
    <t>Company Tax Return</t>
  </si>
  <si>
    <t>EOY ATO</t>
  </si>
  <si>
    <t>Company ATO due</t>
  </si>
  <si>
    <t>Does this Company have Loans</t>
  </si>
  <si>
    <t>Yes</t>
  </si>
  <si>
    <t>Is there loan documents in place</t>
  </si>
  <si>
    <t>Registered Office</t>
  </si>
  <si>
    <t>Shares</t>
  </si>
  <si>
    <t>Beneficially Held</t>
  </si>
  <si>
    <t>Officers</t>
  </si>
  <si>
    <t>Current Shareholdings</t>
  </si>
  <si>
    <t>Team Harder Super Investments Pty Ltd</t>
  </si>
  <si>
    <t>Bank Statements</t>
  </si>
  <si>
    <t>Minutes</t>
  </si>
  <si>
    <t>Current Bank Accounts</t>
  </si>
  <si>
    <t>Bank</t>
  </si>
  <si>
    <t>Date Opened</t>
  </si>
  <si>
    <t>Distribution</t>
  </si>
  <si>
    <t>NAB</t>
  </si>
  <si>
    <t>084-435</t>
  </si>
  <si>
    <t>EOY ASIC</t>
  </si>
  <si>
    <t>NAB Trade</t>
  </si>
  <si>
    <t>083-052</t>
  </si>
  <si>
    <t>PPSR</t>
  </si>
  <si>
    <t>Tax Consolidation</t>
  </si>
  <si>
    <t>Trust Deed</t>
  </si>
  <si>
    <t>Folder Storage</t>
  </si>
  <si>
    <t>Abbreviation</t>
  </si>
  <si>
    <t>W2G</t>
  </si>
  <si>
    <t>Company Register</t>
  </si>
  <si>
    <t>Type</t>
  </si>
  <si>
    <t>Folder</t>
  </si>
  <si>
    <t>Date</t>
  </si>
  <si>
    <t>Manual</t>
  </si>
  <si>
    <t>Electronicaly Stored</t>
  </si>
  <si>
    <t>By Whom</t>
  </si>
  <si>
    <t>Things to Do</t>
  </si>
  <si>
    <t>EOY ASIC FY24</t>
  </si>
  <si>
    <t>EOY ASIC FY24 W2G</t>
  </si>
  <si>
    <t>EOY ATO FY24</t>
  </si>
  <si>
    <t>EOY ATO FY24 W2G</t>
  </si>
  <si>
    <t xml:space="preserve">BOQ Acc 21446327 CLOSED </t>
  </si>
  <si>
    <t>W2G BOQ 21446327 FY24 CLOSED 28.12.23</t>
  </si>
  <si>
    <t xml:space="preserve">BOQ Loan Acc 23084038 CLOSED </t>
  </si>
  <si>
    <t>W2G BOQ Loan 23084038 FY24 CLOSED 08.12.23</t>
  </si>
  <si>
    <t>Certificate of Registration</t>
  </si>
  <si>
    <t>Certificate of Registration W2G</t>
  </si>
  <si>
    <t xml:space="preserve">Constituition </t>
  </si>
  <si>
    <t>Constituition W2G</t>
  </si>
  <si>
    <t>Share Certificate</t>
  </si>
  <si>
    <t>Share Certificate W2G</t>
  </si>
  <si>
    <t>Resignation of Director</t>
  </si>
  <si>
    <t>Resignation of Director RH W2G</t>
  </si>
  <si>
    <t>Change of Address</t>
  </si>
  <si>
    <t>ASIC Docs</t>
  </si>
  <si>
    <t>Change of Address W2G</t>
  </si>
  <si>
    <t>Register of Members</t>
  </si>
  <si>
    <t>Issue, transfer,share split, buy back or Cancelation</t>
  </si>
  <si>
    <t>Class of Share</t>
  </si>
  <si>
    <t>Certification Number</t>
  </si>
  <si>
    <t>Serial Number From</t>
  </si>
  <si>
    <t>Serial Number To</t>
  </si>
  <si>
    <t>Number of Shares Aquired</t>
  </si>
  <si>
    <t>Trf'd to / Trf'd from</t>
  </si>
  <si>
    <t>Amount Paid Per Share</t>
  </si>
  <si>
    <t>Amount Unpaid per Share</t>
  </si>
  <si>
    <t>Fully Paid? (Y/N)</t>
  </si>
  <si>
    <t>Total Number os Shares Held</t>
  </si>
  <si>
    <t>Total Amount paid fo the shares</t>
  </si>
  <si>
    <t>Are the Shares Benedicially Held</t>
  </si>
  <si>
    <t>Owner / Buyer / Seller</t>
  </si>
  <si>
    <t>ASIC Document Number</t>
  </si>
  <si>
    <t>Register of Loans</t>
  </si>
  <si>
    <t>To</t>
  </si>
  <si>
    <t>Amount</t>
  </si>
  <si>
    <t>Security</t>
  </si>
  <si>
    <t>Register of Assets - Non Trading</t>
  </si>
  <si>
    <t>Item</t>
  </si>
  <si>
    <t>Purchase Date</t>
  </si>
  <si>
    <t>Purchase Price</t>
  </si>
  <si>
    <t>Sale Date</t>
  </si>
  <si>
    <t>Sale Price</t>
  </si>
  <si>
    <t>Profit</t>
  </si>
  <si>
    <t>Prov1322 Global Pty Ltd</t>
  </si>
  <si>
    <t>Westpac</t>
  </si>
  <si>
    <t>THSI</t>
  </si>
  <si>
    <t>EOY ASIC FY24 THSI</t>
  </si>
  <si>
    <t>EOY ATO FY24 THIS</t>
  </si>
  <si>
    <t>General</t>
  </si>
  <si>
    <t>Corporate Key THIS</t>
  </si>
  <si>
    <t>EOY ASIC FY23</t>
  </si>
  <si>
    <t>EOY ASIC FY23 THIS</t>
  </si>
  <si>
    <t>EOY ATO FY23</t>
  </si>
  <si>
    <t>EOY ATO FY23 THIS</t>
  </si>
  <si>
    <t>Change to Register of Members</t>
  </si>
  <si>
    <t>Change to Register of Members THIS</t>
  </si>
  <si>
    <t>Registered Address</t>
  </si>
  <si>
    <t>Registered Office Multiplace THIS</t>
  </si>
  <si>
    <t xml:space="preserve">Resolution of Expenditure </t>
  </si>
  <si>
    <t xml:space="preserve">Resolution of Expenditure THIS </t>
  </si>
  <si>
    <t>Things to Do:</t>
  </si>
  <si>
    <t>Need Structure Group</t>
  </si>
  <si>
    <t>Share Purchase</t>
  </si>
  <si>
    <t>To Act as a Trust for Prov1322</t>
  </si>
  <si>
    <t>Gold Purchase</t>
  </si>
  <si>
    <t>Limeco Purchase</t>
  </si>
  <si>
    <t>Tekna Purchase</t>
  </si>
  <si>
    <t>Silver Purchase</t>
  </si>
  <si>
    <t>034-076</t>
  </si>
  <si>
    <t>Westpac Trade</t>
  </si>
  <si>
    <t>084-436</t>
  </si>
  <si>
    <t>THFT</t>
  </si>
  <si>
    <t>Harder Bloodline Trust Deed</t>
  </si>
  <si>
    <t>Harder Bloodline Trust Deed THFT</t>
  </si>
  <si>
    <t>Harder Bloodline Trust Certified</t>
  </si>
  <si>
    <t>Harder Bloodline Trust Certified THFT</t>
  </si>
  <si>
    <t>Bloodline Trust Name Change THFT</t>
  </si>
  <si>
    <t>Bloodline Name Change to THFT</t>
  </si>
  <si>
    <t>Deed of Appointment and Removal</t>
  </si>
  <si>
    <t>Trustee Changed Rachel to Harder Dev THFT</t>
  </si>
  <si>
    <t>Trustee Change Harder Dev to Prov1322 THFT</t>
  </si>
  <si>
    <t>Loan Prov1322 to Gen2612 THFT</t>
  </si>
  <si>
    <t>In folder in Loans and Security</t>
  </si>
  <si>
    <t>Jared to Prov1322 THFT</t>
  </si>
  <si>
    <t>Grace to Prov1322 THFT</t>
  </si>
  <si>
    <t>Sophie to Prov1322 THFT</t>
  </si>
  <si>
    <t>Distribution Minute</t>
  </si>
  <si>
    <t>Distribution Minute 2022 THFT</t>
  </si>
  <si>
    <t>Distribution Minute FY22 THFT</t>
  </si>
  <si>
    <t xml:space="preserve">Change of Company </t>
  </si>
  <si>
    <t>Change of Company Details THFT</t>
  </si>
  <si>
    <t>Distribution Minute 2023 THFT</t>
  </si>
  <si>
    <t>2023 - Team Harder Family Trust - Distribution Minute</t>
  </si>
  <si>
    <t>Distribution Minute FY23 THFT</t>
  </si>
  <si>
    <t>Deed of Variation of Discretionary Trust THFT</t>
  </si>
  <si>
    <t>EOY ATO FY24 Prov1322 ATF THFT</t>
  </si>
  <si>
    <t>Distribution Minute FY24 THFT</t>
  </si>
  <si>
    <t>Return of Gift Deed</t>
  </si>
  <si>
    <t>Return of Gift Deed THFT</t>
  </si>
  <si>
    <t xml:space="preserve">Prov1322 ATF </t>
  </si>
  <si>
    <t>Gen2612 Shares</t>
  </si>
  <si>
    <t xml:space="preserve">Prov1322 Global Pty Ltd </t>
  </si>
  <si>
    <t>To act as Trustee for Team Harder Family Trust</t>
  </si>
  <si>
    <t>Prov1322</t>
  </si>
  <si>
    <t>EOY ATO FY24 Prov1322</t>
  </si>
  <si>
    <t>EOY ASIC FY24 Prov1322</t>
  </si>
  <si>
    <t>Certificate of Registration Prov1322</t>
  </si>
  <si>
    <t>Constitution Prov1322.pdf</t>
  </si>
  <si>
    <t>Corporate Key Prov1322</t>
  </si>
  <si>
    <t>EOY ATO FY23 Prov1322</t>
  </si>
  <si>
    <t>EOY ASIC FY23 Prov1322</t>
  </si>
  <si>
    <t>Registered Office Multiplace Prov1322</t>
  </si>
  <si>
    <t>Annual Solvency Minutes</t>
  </si>
  <si>
    <t>Annual Solvency Minutes Prov1322</t>
  </si>
  <si>
    <t xml:space="preserve">Share Certificate </t>
  </si>
  <si>
    <t>Share Certificate Rachel Harder Prov1322</t>
  </si>
  <si>
    <t>Resolution of Members</t>
  </si>
  <si>
    <t>Resolution of Members Prov1322</t>
  </si>
  <si>
    <t>Register of Debentures</t>
  </si>
  <si>
    <t>Register of Debentures Prov1322</t>
  </si>
  <si>
    <t>Register of Charges</t>
  </si>
  <si>
    <t>Register of Charges Prov1322</t>
  </si>
  <si>
    <t xml:space="preserve">Officeholder Consent </t>
  </si>
  <si>
    <t>Officeholder Consent Rachel Harder Prov1322</t>
  </si>
  <si>
    <t>Application for Shares</t>
  </si>
  <si>
    <t>Application for Shares Rachel Harder Prov1322</t>
  </si>
  <si>
    <t>Register of Members Prov1322</t>
  </si>
  <si>
    <t>Change of Register of Members Prov1322</t>
  </si>
  <si>
    <t>Change of Register of Members Rachel Harder Prov1322</t>
  </si>
  <si>
    <t>ORD</t>
  </si>
  <si>
    <t>Y</t>
  </si>
  <si>
    <t xml:space="preserve">Gen2612 Pty Ltd </t>
  </si>
  <si>
    <t xml:space="preserve">EOY ASIC FY24 </t>
  </si>
  <si>
    <t>EOY ASIC FY24 Gen2612</t>
  </si>
  <si>
    <t>EOY ATO FY24 Gen2612</t>
  </si>
  <si>
    <t>Constituition</t>
  </si>
  <si>
    <t>Constitution Gen2612.pdf</t>
  </si>
  <si>
    <t>Corporate Key Gen2612</t>
  </si>
  <si>
    <t xml:space="preserve">EOY ASIC FY243 </t>
  </si>
  <si>
    <t>EOY ASIC FY23 Gen2612</t>
  </si>
  <si>
    <t xml:space="preserve">Certificate of Registration </t>
  </si>
  <si>
    <t>Certificate of Registration Gen212</t>
  </si>
  <si>
    <t>EOY ATO FY23 Gen2612</t>
  </si>
  <si>
    <t>EOY ASIC FY22</t>
  </si>
  <si>
    <t>EOY ASIC FY22 Gen2612</t>
  </si>
  <si>
    <t xml:space="preserve">Register of Debentures </t>
  </si>
  <si>
    <t>Register of Debentures Gen2612</t>
  </si>
  <si>
    <t>Register of Charges Gen2612</t>
  </si>
  <si>
    <t>Applications for Shares Gen2612</t>
  </si>
  <si>
    <t>Officeholder Consent Rachel Harder Gen2612</t>
  </si>
  <si>
    <t>Share Certificate Gen2612</t>
  </si>
  <si>
    <t>Resolution of Members Gen2612</t>
  </si>
  <si>
    <t>Application for Incorporation</t>
  </si>
  <si>
    <t>Application for Incorporation Gen2612</t>
  </si>
  <si>
    <t>Commissioner of Tax</t>
  </si>
  <si>
    <t>Letter to Commissioner of Tax Gen2612</t>
  </si>
  <si>
    <t>Loan Gen2612 to Rachel</t>
  </si>
  <si>
    <t>In Folder Called "Gen2612 to Rachel"</t>
  </si>
  <si>
    <t>Loan THFT to GEN2612</t>
  </si>
  <si>
    <t>In Folder called "THFT to GEN2612"</t>
  </si>
  <si>
    <t>Loan GEN2612 to THIS</t>
  </si>
  <si>
    <t>In Folder Called "GEN2612 to THSI"</t>
  </si>
  <si>
    <t>Loan GEN2612 to Tekna</t>
  </si>
  <si>
    <t>In Folder Called "GEN2612 to Tekna"</t>
  </si>
  <si>
    <t>Issue</t>
  </si>
  <si>
    <t>N</t>
  </si>
  <si>
    <t>Rachel</t>
  </si>
  <si>
    <t>Tekna</t>
  </si>
  <si>
    <t xml:space="preserve">Team Harder Super Fund </t>
  </si>
  <si>
    <t>To DO</t>
  </si>
  <si>
    <t>Need to add all share purchases in assets</t>
  </si>
  <si>
    <t>THSF</t>
  </si>
  <si>
    <t>SMSF Deed</t>
  </si>
  <si>
    <t>SMSF Deed THSF</t>
  </si>
  <si>
    <t>EOY ATO FY23 THSF</t>
  </si>
  <si>
    <t>EOY ATO FY23 040723 showing debt paid</t>
  </si>
  <si>
    <t xml:space="preserve">EOY ATO FY23 040723 THSF </t>
  </si>
  <si>
    <t>Resolution of Members on Setup</t>
  </si>
  <si>
    <t>Resolution of Members on Setup THSF</t>
  </si>
  <si>
    <t>Formation Documents</t>
  </si>
  <si>
    <t>Formation Documents THSF</t>
  </si>
  <si>
    <t>Team Harder Pty Ltd</t>
  </si>
  <si>
    <t>Need ot find paper work for robert to transfer shares to rachel</t>
  </si>
  <si>
    <t>To Act as Trustee for Team Harder Super Fund</t>
  </si>
  <si>
    <t>TH</t>
  </si>
  <si>
    <t>Resolution of Members on Setup TH</t>
  </si>
  <si>
    <t xml:space="preserve">Certifcate of Registration </t>
  </si>
  <si>
    <t>Certifcate of Registration TH</t>
  </si>
  <si>
    <t>Formation Documents TH</t>
  </si>
  <si>
    <t>Minutes Company Setup</t>
  </si>
  <si>
    <t>Minutes Company Setup TH</t>
  </si>
  <si>
    <t>Share Certifcate Rachel</t>
  </si>
  <si>
    <t>Share Certifcate Rachel TH</t>
  </si>
  <si>
    <t>Share Certifcate Robert</t>
  </si>
  <si>
    <t>Share Certifcate Robert TH</t>
  </si>
  <si>
    <t>Signed Application for Shares Robert</t>
  </si>
  <si>
    <t>Signed Application for Shares Robert TH</t>
  </si>
  <si>
    <t>Consent Rachel Director</t>
  </si>
  <si>
    <t>Consent Rachel Director TH</t>
  </si>
  <si>
    <t>Consent Robert Director</t>
  </si>
  <si>
    <t>Consent Robert Director TH</t>
  </si>
  <si>
    <t>Rachel ATO Declaration</t>
  </si>
  <si>
    <t>Rachel ATO Declaration TH</t>
  </si>
  <si>
    <t>Robert ATO Declaration</t>
  </si>
  <si>
    <t>Robert ATO Declaration TH</t>
  </si>
  <si>
    <t>Signed Application for Shares Rachel</t>
  </si>
  <si>
    <t>Signed Application for Shares Rachel TH</t>
  </si>
  <si>
    <t>Consent Company Setup</t>
  </si>
  <si>
    <t>Consent Company Setup TH</t>
  </si>
  <si>
    <t>EOY ASIC FY2023</t>
  </si>
  <si>
    <t>EOY ASIC FY2023 TH</t>
  </si>
  <si>
    <t>Solvency ASIC FY23</t>
  </si>
  <si>
    <t>Solvency ASIC FY23 TH</t>
  </si>
  <si>
    <t>Corporate Key TH</t>
  </si>
  <si>
    <t>Solvency ASIC FY23 Minutes TH</t>
  </si>
  <si>
    <t>Registered Office Multiplace TH</t>
  </si>
  <si>
    <t>Solvency ASIC FY22</t>
  </si>
  <si>
    <t>Solvency ASIC FY22 TH</t>
  </si>
  <si>
    <t>Change of Office Address</t>
  </si>
  <si>
    <t>Change of Office Address TH</t>
  </si>
  <si>
    <t>Change of Address Rachel</t>
  </si>
  <si>
    <t xml:space="preserve">Change of Address Rachel TH </t>
  </si>
  <si>
    <t>Constitution TH</t>
  </si>
  <si>
    <t>ord</t>
  </si>
  <si>
    <t>y</t>
  </si>
  <si>
    <t>Robert John Harder</t>
  </si>
  <si>
    <t xml:space="preserve">Tekna Homes Pty Ltd </t>
  </si>
  <si>
    <t>658 462 732</t>
  </si>
  <si>
    <t>34 658 462 732</t>
  </si>
  <si>
    <t>605 934 180</t>
  </si>
  <si>
    <t>Trust Name</t>
  </si>
  <si>
    <t>Andrew Mark Clement</t>
  </si>
  <si>
    <t>Tekna Pty Ltd</t>
  </si>
  <si>
    <t>084435</t>
  </si>
  <si>
    <t>Tekna Homes</t>
  </si>
  <si>
    <t>EOY ASIC FY24 TH</t>
  </si>
  <si>
    <t>EOY ATO FY24 TH</t>
  </si>
  <si>
    <t>Constitution Tekna Licence TH.pdf</t>
  </si>
  <si>
    <t xml:space="preserve">ASIC Key </t>
  </si>
  <si>
    <t>ASIC Key</t>
  </si>
  <si>
    <t>ASIC Key TH</t>
  </si>
  <si>
    <t>EOY ASIC FY23 TH</t>
  </si>
  <si>
    <t xml:space="preserve">Registered Office </t>
  </si>
  <si>
    <t xml:space="preserve">Registered Office Multiplace TH </t>
  </si>
  <si>
    <t>Change of Business Address TH</t>
  </si>
  <si>
    <t>ASIC Trading Name</t>
  </si>
  <si>
    <t>ASIC Trading Name TH</t>
  </si>
  <si>
    <t>ASIC Key For Trading Name Tekna Homes</t>
  </si>
  <si>
    <t>ASIC Key For Trading Name Tekna Homes TH</t>
  </si>
  <si>
    <t xml:space="preserve">Summary </t>
  </si>
  <si>
    <t xml:space="preserve">Summary TH </t>
  </si>
  <si>
    <t>Application for Incorporation TH</t>
  </si>
  <si>
    <t xml:space="preserve">Solvency Minutes </t>
  </si>
  <si>
    <t>Annual Solvency Minutes TH</t>
  </si>
  <si>
    <t xml:space="preserve">Resolution of Members </t>
  </si>
  <si>
    <t>Resolution of Members TH</t>
  </si>
  <si>
    <t>Register of Debentures TH</t>
  </si>
  <si>
    <t>Register of Chargers TH</t>
  </si>
  <si>
    <t>Officeholder Consent Samuel James Harder TH</t>
  </si>
  <si>
    <t>Register of Members TH</t>
  </si>
  <si>
    <t xml:space="preserve">Application for Shares </t>
  </si>
  <si>
    <t>Application for Shares TH</t>
  </si>
  <si>
    <t>Application for Shares Template TH</t>
  </si>
  <si>
    <t>Loan TD to TH</t>
  </si>
  <si>
    <t>In Folder Called "Loan TD to TH"</t>
  </si>
  <si>
    <t>Tekna Drafting</t>
  </si>
  <si>
    <t>Tekna Drafting Pty Ltd</t>
  </si>
  <si>
    <t>159 565 849</t>
  </si>
  <si>
    <t>96 159 565 849</t>
  </si>
  <si>
    <t>938 078 821</t>
  </si>
  <si>
    <t xml:space="preserve">find scanned in shared equity agreements </t>
  </si>
  <si>
    <t>Loans to Tekna Group and Others and Investments</t>
  </si>
  <si>
    <t>TD</t>
  </si>
  <si>
    <t>Constitution (Previous Rock Invest QLD)</t>
  </si>
  <si>
    <t>Constitution TD</t>
  </si>
  <si>
    <t>Company Setup TD</t>
  </si>
  <si>
    <t>Register of Members Setup TD</t>
  </si>
  <si>
    <t>Company Setup and Members Info TD</t>
  </si>
  <si>
    <t>Tax File Number TD</t>
  </si>
  <si>
    <t>ATO Docs</t>
  </si>
  <si>
    <t>Solvency ASIC FY13 TD</t>
  </si>
  <si>
    <t>Solvency ASIC FY14 TD</t>
  </si>
  <si>
    <t>Solvency ASIC FY15 TD</t>
  </si>
  <si>
    <t>Solvency ASIC FY16 TD</t>
  </si>
  <si>
    <t>Solvency ASIC FY17 TD</t>
  </si>
  <si>
    <t>Resignation of Director AC TD</t>
  </si>
  <si>
    <t>Appoint of Director JH TD</t>
  </si>
  <si>
    <t>Solvency ASIC FY18 TD</t>
  </si>
  <si>
    <t>Solvency ASIC FY19 TD</t>
  </si>
  <si>
    <t>ATO Tax Return FY20 TD</t>
  </si>
  <si>
    <t>Solvency ASIC FY20 TD</t>
  </si>
  <si>
    <t>ATO Tax Return FY21 TD</t>
  </si>
  <si>
    <t>ATO Tax Return FY21 Amendments TD</t>
  </si>
  <si>
    <t>Solvency ASIC FY21 TD</t>
  </si>
  <si>
    <t>Change of Name to Tekna</t>
  </si>
  <si>
    <t>Change of Name to Tekna TD</t>
  </si>
  <si>
    <t>Minutes to Transfer Shares 25102021 TD</t>
  </si>
  <si>
    <t>Resignation of Director and Secretary JH TD</t>
  </si>
  <si>
    <t>Registered Office Multiplace TD</t>
  </si>
  <si>
    <t>ATO Tax Return FY22 TD</t>
  </si>
  <si>
    <t>Solvency ASIC FY22 TD</t>
  </si>
  <si>
    <t>Corporate Key TD</t>
  </si>
  <si>
    <t>EOY ASIC FY23 TD</t>
  </si>
  <si>
    <t>Solvency ASIC FY23 TD</t>
  </si>
  <si>
    <t>Resignation of Director SH TD</t>
  </si>
  <si>
    <t>EOY ASIC FY24 TD</t>
  </si>
  <si>
    <t>EOY ATO FY24 TD</t>
  </si>
  <si>
    <t>Board Resolution Loans TD</t>
  </si>
  <si>
    <t>Board Resolution Loans HOH TD</t>
  </si>
  <si>
    <t>Loan HOH from TD</t>
  </si>
  <si>
    <t>Security Deed HOH from TD</t>
  </si>
  <si>
    <t>Loan Tekna Homes from TD</t>
  </si>
  <si>
    <t>Token Issued HOH from TD</t>
  </si>
  <si>
    <t>Verification Statement HOH from TD</t>
  </si>
  <si>
    <t>Security Deed Tekna Homes from TD</t>
  </si>
  <si>
    <t>Board Resolution Loans Tekna Homes TD</t>
  </si>
  <si>
    <t>Token Issued TH from TD</t>
  </si>
  <si>
    <t>Verification Statement TH from TD</t>
  </si>
  <si>
    <t>Loan Tekna Admin from TD</t>
  </si>
  <si>
    <t>Security Deed Tekna Admin from TD</t>
  </si>
  <si>
    <t>Token Issued TA from TD</t>
  </si>
  <si>
    <t>Verification Statement TA from TD</t>
  </si>
  <si>
    <t>Commercial Building Unit 5/8 Nevilles Street</t>
  </si>
  <si>
    <t>IN folder in Assets</t>
  </si>
  <si>
    <t>Shared Equity Agreement</t>
  </si>
  <si>
    <t>Cancel</t>
  </si>
  <si>
    <t>Harder Developments ATF The Harder Family Trust</t>
  </si>
  <si>
    <t>A Clement Developmentrs QLD ATF Clement Family Trust</t>
  </si>
  <si>
    <t>Plug Investments ATF Plug Family Trust</t>
  </si>
  <si>
    <t>The Promise QLD</t>
  </si>
  <si>
    <t>issue</t>
  </si>
  <si>
    <t>Sell</t>
  </si>
  <si>
    <t>Buy</t>
  </si>
  <si>
    <t>Jonathan Lance Ament</t>
  </si>
  <si>
    <t>buy</t>
  </si>
  <si>
    <t>Transfer</t>
  </si>
  <si>
    <t>All ABOVE</t>
  </si>
  <si>
    <t>7EBR13770</t>
  </si>
  <si>
    <t>Homes of Hope</t>
  </si>
  <si>
    <t>Tekna Admin</t>
  </si>
  <si>
    <t>Shared Equity Loan Khyiroya (Deed Of Novation)</t>
  </si>
  <si>
    <t>Shared Equity Loan Mansfield (Deed Of Novation)</t>
  </si>
  <si>
    <t>673 388 424</t>
  </si>
  <si>
    <t>81 673 388 424</t>
  </si>
  <si>
    <t>518 585 770</t>
  </si>
  <si>
    <t>Charges a fee to pay for all Groups expenses per Job</t>
  </si>
  <si>
    <t>083-004</t>
  </si>
  <si>
    <t>15/12/2023</t>
  </si>
  <si>
    <t xml:space="preserve">034-076 </t>
  </si>
  <si>
    <t>TA</t>
  </si>
  <si>
    <t>EOY ASIC FY24 TA</t>
  </si>
  <si>
    <t>EOY ATO FY24 TA</t>
  </si>
  <si>
    <t>Constitution TA</t>
  </si>
  <si>
    <t>Certificate Rego TA</t>
  </si>
  <si>
    <t>Share Certificate TA</t>
  </si>
  <si>
    <t>Company Setup TA</t>
  </si>
  <si>
    <t>Loan TD to TA</t>
  </si>
  <si>
    <t>General Security Deed TD to TA</t>
  </si>
  <si>
    <t>PPSR Token TA</t>
  </si>
  <si>
    <t>PPSR Verification TA</t>
  </si>
  <si>
    <t>Skid Steer Toyota</t>
  </si>
  <si>
    <t>Skid Steer Toyota TA</t>
  </si>
  <si>
    <t>Skid Steer Toyota Bucket</t>
  </si>
  <si>
    <t>Skid Steer Toyota Bucket TA</t>
  </si>
  <si>
    <t>Truck</t>
  </si>
  <si>
    <t>Truck TA</t>
  </si>
  <si>
    <t>Excavator TA</t>
  </si>
  <si>
    <t>Computer</t>
  </si>
  <si>
    <t>Computer TA</t>
  </si>
  <si>
    <t>4/12/202</t>
  </si>
  <si>
    <t>Skid Seer Toyota</t>
  </si>
  <si>
    <t>Skid Seer Toyota Bucket</t>
  </si>
  <si>
    <t>Excavtor</t>
  </si>
  <si>
    <t>658 462 394</t>
  </si>
  <si>
    <t>43 658 462 394</t>
  </si>
  <si>
    <t>605 934 917</t>
  </si>
  <si>
    <t>Plug Developments Pty Ltd</t>
  </si>
  <si>
    <t xml:space="preserve">The Promise QLD Pty Ltd </t>
  </si>
  <si>
    <t xml:space="preserve">Jonathan Lance Ament </t>
  </si>
  <si>
    <t>Samuel James Harder</t>
  </si>
  <si>
    <t>Date Closed</t>
  </si>
  <si>
    <t>Registered Office Multiplace Tekna</t>
  </si>
  <si>
    <t xml:space="preserve">Change of Address Tekna </t>
  </si>
  <si>
    <t>Change of Register of Members</t>
  </si>
  <si>
    <t>Change of Register of Members Tekna</t>
  </si>
  <si>
    <t xml:space="preserve">Certificate of Registration Tekna </t>
  </si>
  <si>
    <t>Application for Shares Tekna</t>
  </si>
  <si>
    <t>Application for Shares Plug Developments Tekna</t>
  </si>
  <si>
    <t>Application for Shares Jonathan Lance Ament Tekna</t>
  </si>
  <si>
    <t>Constitution PDF</t>
  </si>
  <si>
    <t xml:space="preserve">Constituition Tekna </t>
  </si>
  <si>
    <t>Constitution Docx</t>
  </si>
  <si>
    <t>EOY ASIC FY22 Tekna</t>
  </si>
  <si>
    <t>Annual Solvency Minutes Tekna</t>
  </si>
  <si>
    <t xml:space="preserve">Corporate Key </t>
  </si>
  <si>
    <t>Corporate Key Tekna</t>
  </si>
  <si>
    <t>EOY ASIC FY23 Tekna</t>
  </si>
  <si>
    <t>Issue News Sam and Prov1322</t>
  </si>
  <si>
    <t>In folder called "Share Structure Sam and Prov"</t>
  </si>
  <si>
    <t>Transfer Shares The Promise QLD</t>
  </si>
  <si>
    <t>Share Transfer Form PFT and THFT Tekna</t>
  </si>
  <si>
    <t>EOY ASIC FY24 Tekna</t>
  </si>
  <si>
    <t>EOY ATO FY24 Tekna</t>
  </si>
  <si>
    <t>Loan Docs Gen2612 Tekna</t>
  </si>
  <si>
    <t>In Folder Called "Gen2612  Tekna"</t>
  </si>
  <si>
    <t>Loan Docs Plug Investments Tekna</t>
  </si>
  <si>
    <t>In Folder Called "Plug Investments  Tekna"</t>
  </si>
  <si>
    <t>Purchase Shares Tekna Homes</t>
  </si>
  <si>
    <t>In Folder Called "Issue New Shares Tekna Homes"</t>
  </si>
  <si>
    <t>Harder Developments ATF Team Harder Family Trust</t>
  </si>
  <si>
    <t>Sam Harder ATF Harder Family Trust</t>
  </si>
  <si>
    <t>The Promise QLD ATF The Promise Family Trust</t>
  </si>
  <si>
    <t>Plug Investments</t>
  </si>
  <si>
    <t>Shares in Tekna Homes</t>
  </si>
  <si>
    <t>The Promise Family Trust</t>
  </si>
  <si>
    <t xml:space="preserve">To Act as a Trust for The Promise Queensland Pty Ltd	</t>
  </si>
  <si>
    <t>162 Alperton Road, Burbank QLD 4156</t>
  </si>
  <si>
    <t>Sophie Mee-Jeong Harder</t>
  </si>
  <si>
    <t>TPFT</t>
  </si>
  <si>
    <t>Trust Deed TPFT</t>
  </si>
  <si>
    <t>Share Tranfer Form Tekna - TPFT</t>
  </si>
  <si>
    <t>Share Transfer Form TPFT</t>
  </si>
  <si>
    <t>To Act as a trustee for the Promise Family Tust</t>
  </si>
  <si>
    <t>TPQ</t>
  </si>
  <si>
    <t xml:space="preserve">Set Up Company Legal Vision </t>
  </si>
  <si>
    <t>Company Set Up TPQ</t>
  </si>
  <si>
    <t>Register of Members On Set up</t>
  </si>
  <si>
    <t>Members 03052024 TPQ</t>
  </si>
  <si>
    <t xml:space="preserve">Constitution </t>
  </si>
  <si>
    <t>Constituition TPQ</t>
  </si>
  <si>
    <t>Share Certificate TPQ</t>
  </si>
  <si>
    <t>EOY ASIC FY24 TPQ</t>
  </si>
  <si>
    <t>Depreciation</t>
  </si>
  <si>
    <t xml:space="preserve">Tekna </t>
  </si>
  <si>
    <t>andrew@tekna.com.au</t>
  </si>
  <si>
    <t>J4sper20!0</t>
  </si>
  <si>
    <t>Glenelg</t>
  </si>
  <si>
    <t>Tekna Drafting (formerly Rock Invest Qld)</t>
  </si>
  <si>
    <t>rach@100xbestlife.com</t>
  </si>
  <si>
    <t>Tekna Homes formerly Tekna Licence</t>
  </si>
  <si>
    <t>rachel@tekna.com.au</t>
  </si>
  <si>
    <t>Tekna Admin Pty LTd</t>
  </si>
  <si>
    <t>Promise</t>
  </si>
  <si>
    <t>The Promise QLD Pty Ltd</t>
  </si>
  <si>
    <t>Personal</t>
  </si>
  <si>
    <t>965 171 018</t>
  </si>
  <si>
    <t>633 256 177</t>
  </si>
  <si>
    <t>633 256 457</t>
  </si>
  <si>
    <t xml:space="preserve">Entity </t>
  </si>
  <si>
    <t xml:space="preserve">Institution </t>
  </si>
  <si>
    <t xml:space="preserve">BSB </t>
  </si>
  <si>
    <t xml:space="preserve">Account Number </t>
  </si>
  <si>
    <t>Acc Open</t>
  </si>
  <si>
    <t>Acc Close</t>
  </si>
  <si>
    <t xml:space="preserve">Team Harder Group </t>
  </si>
  <si>
    <t>Gen 2612</t>
  </si>
  <si>
    <t>07.04.2022</t>
  </si>
  <si>
    <t>WPac</t>
  </si>
  <si>
    <t xml:space="preserve">Team Harder Family Trust </t>
  </si>
  <si>
    <t>22.07.2021</t>
  </si>
  <si>
    <t>Prov 1322 Global Pty Ltd ATF Team Harder Family Trust</t>
  </si>
  <si>
    <t>22/12/2023</t>
  </si>
  <si>
    <t>WPac Trade</t>
  </si>
  <si>
    <t>23/05/2024</t>
  </si>
  <si>
    <t>Team Harder Super Fund Group</t>
  </si>
  <si>
    <t>Team Harder Super Investment Group</t>
  </si>
  <si>
    <t>20.04.2022</t>
  </si>
  <si>
    <t>26.07.2022</t>
  </si>
  <si>
    <t>BOQ</t>
  </si>
  <si>
    <t>28/12/2023</t>
  </si>
  <si>
    <t>W2G Assets Loan</t>
  </si>
  <si>
    <t>22.07.2020</t>
  </si>
  <si>
    <t>Tekna Group</t>
  </si>
  <si>
    <t>23.03.2022</t>
  </si>
  <si>
    <t xml:space="preserve">Tekna Drafting </t>
  </si>
  <si>
    <t>12.04.2022</t>
  </si>
  <si>
    <t>Tekna Homes (formerly Tekna Licence)</t>
  </si>
  <si>
    <t>16.05.2022</t>
  </si>
  <si>
    <t xml:space="preserve">NAB  </t>
  </si>
  <si>
    <t xml:space="preserve">BOQ </t>
  </si>
  <si>
    <t xml:space="preserve">Livin the Dream </t>
  </si>
  <si>
    <t>Document Type</t>
  </si>
  <si>
    <t>Loans and Security</t>
  </si>
  <si>
    <t>Loan Docs</t>
  </si>
  <si>
    <t>Securty Deed</t>
  </si>
  <si>
    <t>Set UP Docs</t>
  </si>
  <si>
    <t>Annual ASIC Bill and Solvency Letter</t>
  </si>
  <si>
    <t>Shareholdings</t>
  </si>
  <si>
    <t>Structure Chart</t>
  </si>
  <si>
    <t>Once it Signed</t>
  </si>
  <si>
    <t>Assets</t>
  </si>
  <si>
    <t>Anything we purchase over $300-00</t>
  </si>
  <si>
    <t>Dividend statement</t>
  </si>
  <si>
    <t>income tax , activity staement</t>
  </si>
  <si>
    <t>permission to use registered office, change of name</t>
  </si>
  <si>
    <t>all ato DOCS OTHER</t>
  </si>
  <si>
    <t>if change directors or secretary</t>
  </si>
  <si>
    <t>all statements for the year</t>
  </si>
  <si>
    <t>All minutes</t>
  </si>
  <si>
    <t>trust document</t>
  </si>
  <si>
    <t>company detials and amunt overdue</t>
  </si>
  <si>
    <t>trust deed</t>
  </si>
  <si>
    <t>XERO Company</t>
  </si>
  <si>
    <t>Account Number</t>
  </si>
  <si>
    <t>Name</t>
  </si>
  <si>
    <t>Asset Type</t>
  </si>
  <si>
    <t>Debit Card - 4341 7600 3761 2610</t>
  </si>
  <si>
    <t>Lawyers Trust Account</t>
  </si>
  <si>
    <t>Current Asset</t>
  </si>
  <si>
    <t>Accountant Trust Account</t>
  </si>
  <si>
    <t>Suspense - Waiting to be Reconciled</t>
  </si>
  <si>
    <t>WIP - Construction</t>
  </si>
  <si>
    <t>WIP - Prepayment</t>
  </si>
  <si>
    <t xml:space="preserve">Bobcat </t>
  </si>
  <si>
    <t xml:space="preserve">Truck </t>
  </si>
  <si>
    <t>Excavator</t>
  </si>
  <si>
    <t>Shares in Tekna</t>
  </si>
  <si>
    <t>Non Current Assets</t>
  </si>
  <si>
    <t>Shares in Tekna Drafting</t>
  </si>
  <si>
    <t>Shares in Tekna Admin</t>
  </si>
  <si>
    <t>Private Shares - Limeco</t>
  </si>
  <si>
    <t>Units in Clausen Street Unit Trust</t>
  </si>
  <si>
    <t>October Closing WIP</t>
  </si>
  <si>
    <t>Gold Bullion</t>
  </si>
  <si>
    <t>Silver Bullion</t>
  </si>
  <si>
    <t>Crypto</t>
  </si>
  <si>
    <t> ASX - Share Purchase</t>
  </si>
  <si>
    <t>Alperton Road Shed</t>
  </si>
  <si>
    <t>Shared Equity Loans - Khyiroya</t>
  </si>
  <si>
    <t>Shared Equity Loans - Mansfield</t>
  </si>
  <si>
    <t>Purchase - Unit 5/8 Nevilles Street</t>
  </si>
  <si>
    <t>Capital Costs - Unit 5/8 Nevilles Street</t>
  </si>
  <si>
    <t>Depreciation - Unit 5/8 Nevilles Street</t>
  </si>
  <si>
    <t>Sales</t>
  </si>
  <si>
    <t>Revenue</t>
  </si>
  <si>
    <t>Rent - Income Alperton Road</t>
  </si>
  <si>
    <t>Rent - Income Unit 5/ Nevilles Street</t>
  </si>
  <si>
    <t>House Construction Income</t>
  </si>
  <si>
    <t xml:space="preserve"> Reimbursement - Construction Cost</t>
  </si>
  <si>
    <t>Graphic Design</t>
  </si>
  <si>
    <t>Development Management Fee</t>
  </si>
  <si>
    <t>Debt Forgiveness And Uncollectable Investments - Revenue</t>
  </si>
  <si>
    <t>Interest - Kristie Huisman 1st Mortgage</t>
  </si>
  <si>
    <t>Interest - Development</t>
  </si>
  <si>
    <t>Concept Plans</t>
  </si>
  <si>
    <t>Preliminary Drawings</t>
  </si>
  <si>
    <t>Working Drawings</t>
  </si>
  <si>
    <t>Takeoffs</t>
  </si>
  <si>
    <t>Siting</t>
  </si>
  <si>
    <t>Revisions</t>
  </si>
  <si>
    <t>3D Exterior</t>
  </si>
  <si>
    <t>3D Interior</t>
  </si>
  <si>
    <t>Floor Plan</t>
  </si>
  <si>
    <t>IFC File</t>
  </si>
  <si>
    <t>Licensing</t>
  </si>
  <si>
    <t>Drafting Variations</t>
  </si>
  <si>
    <t>Joii People</t>
  </si>
  <si>
    <t>Pure Web</t>
  </si>
  <si>
    <t>Other Revenue</t>
  </si>
  <si>
    <t>Dividends Received - Fully Franked</t>
  </si>
  <si>
    <t>Distribution From Trust - With Franking Credits</t>
  </si>
  <si>
    <t>Distribution From Trust - Without Franking Credits</t>
  </si>
  <si>
    <t>Trust Distribution - Capital Gains</t>
  </si>
  <si>
    <t>Revaluation Adjustment</t>
  </si>
  <si>
    <t>Interest Income</t>
  </si>
  <si>
    <t>Interest - Other</t>
  </si>
  <si>
    <t>Crypto Profit</t>
  </si>
  <si>
    <t>Opening Stock</t>
  </si>
  <si>
    <t>Closing Stock</t>
  </si>
  <si>
    <t>Construction Costs</t>
  </si>
  <si>
    <t>Direct costs</t>
  </si>
  <si>
    <t>Completed Construction Costs</t>
  </si>
  <si>
    <t>Reimbursement - Construction Costs</t>
  </si>
  <si>
    <t>Expense</t>
  </si>
  <si>
    <t>Joii Labour Hire</t>
  </si>
  <si>
    <t>Development of Tekna 3D product models</t>
  </si>
  <si>
    <t>Research</t>
  </si>
  <si>
    <t>LYW - Reimbursements</t>
  </si>
  <si>
    <t>Pure Web Cost</t>
  </si>
  <si>
    <t>Software Development</t>
  </si>
  <si>
    <t>Rapid Software</t>
  </si>
  <si>
    <t>Advertising &amp; Marketing</t>
  </si>
  <si>
    <t>Bank Fees</t>
  </si>
  <si>
    <t>Brokage Fee</t>
  </si>
  <si>
    <t>Safety Deposit Box Fees</t>
  </si>
  <si>
    <t>Debt Forgiveness And Uncollectable Investments</t>
  </si>
  <si>
    <t>Crypto Capital Loss</t>
  </si>
  <si>
    <t>Cleaning GST Free</t>
  </si>
  <si>
    <t>Consulting &amp; Accounting</t>
  </si>
  <si>
    <t xml:space="preserve">Training Expenses </t>
  </si>
  <si>
    <t>Entertainment</t>
  </si>
  <si>
    <t>Freight &amp; Courier</t>
  </si>
  <si>
    <t>ASIC Filing Fee</t>
  </si>
  <si>
    <t>ASIC Fees GST Free</t>
  </si>
  <si>
    <t>Other ASIC Fees</t>
  </si>
  <si>
    <t>General Expenses</t>
  </si>
  <si>
    <t>Expense Waiting on Reimbursement</t>
  </si>
  <si>
    <t>Insurance GST Free</t>
  </si>
  <si>
    <t>Insurance GST Inc</t>
  </si>
  <si>
    <t>Licences &amp; Licence Renewals</t>
  </si>
  <si>
    <t>Interest Expense</t>
  </si>
  <si>
    <t>Mortgage Interest</t>
  </si>
  <si>
    <t>Legal Expenses GST Inc</t>
  </si>
  <si>
    <t>Legal Expenses GST Free</t>
  </si>
  <si>
    <t>LYW - Reimbursement Fees</t>
  </si>
  <si>
    <t>Light, Power, Heating</t>
  </si>
  <si>
    <t>M/V - Running Costs</t>
  </si>
  <si>
    <t>M/V - Repairs and Service</t>
  </si>
  <si>
    <t>M/V - Rego and Insurance</t>
  </si>
  <si>
    <t>Office Expenses</t>
  </si>
  <si>
    <t>Printing &amp; Stationery</t>
  </si>
  <si>
    <t>Rent</t>
  </si>
  <si>
    <t>Repairs and Maintenance</t>
  </si>
  <si>
    <t>Joii Wages</t>
  </si>
  <si>
    <t>Wages and Salaries</t>
  </si>
  <si>
    <t>Superannuation</t>
  </si>
  <si>
    <t>Subscriptions</t>
  </si>
  <si>
    <t>Subscriptions - Github</t>
  </si>
  <si>
    <t>Subscriptions - Squarespace</t>
  </si>
  <si>
    <t xml:space="preserve">Software  </t>
  </si>
  <si>
    <t>Telephone &amp; Internet</t>
  </si>
  <si>
    <t>Travel - National</t>
  </si>
  <si>
    <t>Travel - International</t>
  </si>
  <si>
    <t>Tax Bill</t>
  </si>
  <si>
    <t>Income Tax Expense</t>
  </si>
  <si>
    <t>Stripe Fees</t>
  </si>
  <si>
    <t>Income Tax Payable</t>
  </si>
  <si>
    <t>Current Liability</t>
  </si>
  <si>
    <t>Loan - Team Harder Family Trust</t>
  </si>
  <si>
    <t>Non Current Liability</t>
  </si>
  <si>
    <t>Loan - The Harder Family Trust</t>
  </si>
  <si>
    <t>Loan - Gen2612</t>
  </si>
  <si>
    <t>Loan - LATL</t>
  </si>
  <si>
    <t>Loan - Robert Harder</t>
  </si>
  <si>
    <t>Loan - Rachel Harder</t>
  </si>
  <si>
    <t>Loan - Jared Harder</t>
  </si>
  <si>
    <t>Loan - Grace Harder</t>
  </si>
  <si>
    <t>Loan - Sophie Harder</t>
  </si>
  <si>
    <t>Loan - Rachel Harder / Kids</t>
  </si>
  <si>
    <t>Loan - AR Clement Investments</t>
  </si>
  <si>
    <t>Loan - Team Harder Super Investments</t>
  </si>
  <si>
    <t>Loan - Harder Developments</t>
  </si>
  <si>
    <t xml:space="preserve">Loan - JRANDL </t>
  </si>
  <si>
    <t xml:space="preserve">Loan - Harder Family Reimburse </t>
  </si>
  <si>
    <t>Loan - Tekna</t>
  </si>
  <si>
    <t>Loan - Tekna Drafting</t>
  </si>
  <si>
    <t>Loan - Tekna Homes</t>
  </si>
  <si>
    <t xml:space="preserve">Loan - Tekna Homes to Reimburse </t>
  </si>
  <si>
    <t>Loan - Tekna Admin</t>
  </si>
  <si>
    <t>Loan - Plug Investments</t>
  </si>
  <si>
    <t>Loan - Chrissy Harder</t>
  </si>
  <si>
    <t>Loan - Samuel Harder</t>
  </si>
  <si>
    <t>Loan - Other</t>
  </si>
  <si>
    <t>Loan - Jonathan Ament</t>
  </si>
  <si>
    <t>Rent In Advance - Unit 5/8 Nevilles Street</t>
  </si>
  <si>
    <t>Loan - W2G Assets</t>
  </si>
  <si>
    <t>Loan - Livin The Dream</t>
  </si>
  <si>
    <t>Loan - Homes of Hope</t>
  </si>
  <si>
    <t>Loan - 160 Alperton Road</t>
  </si>
  <si>
    <t>Promissory Note 1</t>
  </si>
  <si>
    <t>Promissory Note 2</t>
  </si>
  <si>
    <t>Promissory Note 3</t>
  </si>
  <si>
    <t>Promissory Note 4</t>
  </si>
  <si>
    <t>Retained Earnings</t>
  </si>
  <si>
    <t>Equity</t>
  </si>
  <si>
    <t>Pay Fully Franked Dividend</t>
  </si>
  <si>
    <t>Hillsong Trust Distribution</t>
  </si>
  <si>
    <t>Harder Family Trust Profit</t>
  </si>
  <si>
    <t xml:space="preserve">LATL </t>
  </si>
  <si>
    <t>GEN2612</t>
  </si>
  <si>
    <t>Deed of Gift to Trust</t>
  </si>
  <si>
    <t>issed and Paid Up Capital</t>
  </si>
  <si>
    <t>Loans to or from</t>
  </si>
  <si>
    <t>Bank Account</t>
  </si>
  <si>
    <t>Name of Account</t>
  </si>
  <si>
    <t>NAB - Team Harder Super Investments</t>
  </si>
  <si>
    <t>NAB Share Trade Account - Team Harder Super Investments</t>
  </si>
  <si>
    <t>NAB - W2G Assets</t>
  </si>
  <si>
    <t>NAB Share Trade Account - W2G Assets</t>
  </si>
  <si>
    <t>BOQ - W2G Assets</t>
  </si>
  <si>
    <t>BOQ LOC - W2G Assets - Unit 5/8 Nevilles Street</t>
  </si>
  <si>
    <t>NAB - Gen2612</t>
  </si>
  <si>
    <t>Crypto Credit Card</t>
  </si>
  <si>
    <t>Nothing to link to</t>
  </si>
  <si>
    <t>Loan - Team Harder Family Reimburse</t>
  </si>
  <si>
    <t>Loan - Tekna Licence To Reimburse</t>
  </si>
  <si>
    <t>Loan Plug Investments</t>
  </si>
  <si>
    <t>NAB - Team Harder Family Trust</t>
  </si>
  <si>
    <t>NAB - Trust Tithe - HFTH</t>
  </si>
  <si>
    <t>NAB - Tekna</t>
  </si>
  <si>
    <t>Loan - Tekna Licence</t>
  </si>
  <si>
    <t>Tekna Licence</t>
  </si>
  <si>
    <t>NAB - Tekna Licence</t>
  </si>
  <si>
    <t>NAB - Tekna Drafting</t>
  </si>
  <si>
    <t>Given Names</t>
  </si>
  <si>
    <t>Family Name</t>
  </si>
  <si>
    <t>Date Of Birth</t>
  </si>
  <si>
    <t>Place of Birth</t>
  </si>
  <si>
    <t>State</t>
  </si>
  <si>
    <t>Country</t>
  </si>
  <si>
    <t>Residential Address</t>
  </si>
  <si>
    <t>Directors ID</t>
  </si>
  <si>
    <t>Andrew Mark</t>
  </si>
  <si>
    <t>Clement</t>
  </si>
  <si>
    <t>Dunstable</t>
  </si>
  <si>
    <t>England</t>
  </si>
  <si>
    <t>2 Winterpeak Close Yarrabilba QLD 4207</t>
  </si>
  <si>
    <t>490 268 825</t>
  </si>
  <si>
    <t>036 535 452 319 643</t>
  </si>
  <si>
    <t>Director Number</t>
  </si>
  <si>
    <t>Aaron Thomas</t>
  </si>
  <si>
    <t>Glowka</t>
  </si>
  <si>
    <t>Toowoomba</t>
  </si>
  <si>
    <t>QLD</t>
  </si>
  <si>
    <t>Australia</t>
  </si>
  <si>
    <t>37 Blackthorn Cresent Shailer Park QLD 4128</t>
  </si>
  <si>
    <t>036 670 980 487 618</t>
  </si>
  <si>
    <t>David John</t>
  </si>
  <si>
    <t>Linney</t>
  </si>
  <si>
    <t>Totternhoe,</t>
  </si>
  <si>
    <t>4 Muirfield Court Cornubia QLD 4130</t>
  </si>
  <si>
    <t>036 434 217 004 867</t>
  </si>
  <si>
    <t>David</t>
  </si>
  <si>
    <t xml:space="preserve">Palmer </t>
  </si>
  <si>
    <t>Gympie</t>
  </si>
  <si>
    <t>7 Harlech Court Cornubia QLD 4130</t>
  </si>
  <si>
    <t>486 950 227</t>
  </si>
  <si>
    <t>Kaab</t>
  </si>
  <si>
    <t>Rachel Anne</t>
  </si>
  <si>
    <t>Harder</t>
  </si>
  <si>
    <t>SA</t>
  </si>
  <si>
    <t>162 Alperton Road Burbank QLD 4156</t>
  </si>
  <si>
    <t>036 36387 94301 79</t>
  </si>
  <si>
    <t>Robert John</t>
  </si>
  <si>
    <t>Burnie</t>
  </si>
  <si>
    <t>036 00187 50300 93</t>
  </si>
  <si>
    <t>Jared Sa-Bin</t>
  </si>
  <si>
    <t>Inchon</t>
  </si>
  <si>
    <t>South Korea</t>
  </si>
  <si>
    <t>036 66785 14102 28</t>
  </si>
  <si>
    <t>Samuel James</t>
  </si>
  <si>
    <t>East Fremantle</t>
  </si>
  <si>
    <t>WA</t>
  </si>
  <si>
    <t>13 English Place Rochedale QLD 4123</t>
  </si>
  <si>
    <t>971 295 981</t>
  </si>
  <si>
    <t>036 723 294 953 150</t>
  </si>
  <si>
    <t>Christine Leanne</t>
  </si>
  <si>
    <t>036 20243 44207 73</t>
  </si>
  <si>
    <t xml:space="preserve"> Plug Developments </t>
  </si>
  <si>
    <t>Plug Property Trust and Plug Family trust</t>
  </si>
  <si>
    <t>James Jonathan</t>
  </si>
  <si>
    <t>0438 765 935</t>
  </si>
  <si>
    <t>Tasmania</t>
  </si>
  <si>
    <t>036 98079 72594 73</t>
  </si>
  <si>
    <t>Plug investments</t>
  </si>
  <si>
    <t>Kate Harder</t>
  </si>
  <si>
    <t>Andrew Clement</t>
  </si>
  <si>
    <t>Licence Number</t>
  </si>
  <si>
    <t>Director Mobile</t>
  </si>
  <si>
    <t>Drivers Licence</t>
  </si>
  <si>
    <t>0407 150 081</t>
  </si>
  <si>
    <t>0409 397 541</t>
  </si>
  <si>
    <t>0407 397 541</t>
  </si>
  <si>
    <t>Sophie Mee-jeong</t>
  </si>
  <si>
    <t>0466 316 357</t>
  </si>
  <si>
    <t>Seoul</t>
  </si>
  <si>
    <t>036 58056 41156 78</t>
  </si>
  <si>
    <t>Start Date</t>
  </si>
  <si>
    <t>Resigned</t>
  </si>
  <si>
    <t>Company Incorporated</t>
  </si>
  <si>
    <t>Secretary</t>
  </si>
  <si>
    <t>Purpose</t>
  </si>
  <si>
    <t>Part of Group</t>
  </si>
  <si>
    <t>Loans and Family Investments</t>
  </si>
  <si>
    <t>PROV 1322 Global</t>
  </si>
  <si>
    <t>Corporate Trustee</t>
  </si>
  <si>
    <t>Investments and Developments</t>
  </si>
  <si>
    <t>Team Harder Family Trust ( should be currently part of Super Fund)</t>
  </si>
  <si>
    <t>Struck Off</t>
  </si>
  <si>
    <t>Harder Investments</t>
  </si>
  <si>
    <t>Old Super fund with Brother</t>
  </si>
  <si>
    <t>Harder Developments</t>
  </si>
  <si>
    <t>Old Family Trust Group</t>
  </si>
  <si>
    <t>Love Your WorLd</t>
  </si>
  <si>
    <t>Liquidation</t>
  </si>
  <si>
    <t>Joii ACLA</t>
  </si>
  <si>
    <t>Joii ACLP</t>
  </si>
  <si>
    <t>Joii Credit License Management</t>
  </si>
  <si>
    <t>Joii Securities</t>
  </si>
  <si>
    <t>Harder Enterprises</t>
  </si>
  <si>
    <t>Omtra</t>
  </si>
  <si>
    <t>Privium Assets</t>
  </si>
  <si>
    <t>Privium Group</t>
  </si>
  <si>
    <t>Total Design</t>
  </si>
  <si>
    <t>W2G (VIC)</t>
  </si>
  <si>
    <t xml:space="preserve">ASIC Agent Number </t>
  </si>
  <si>
    <t>Multiplace</t>
  </si>
  <si>
    <t>A010Australia$</t>
  </si>
  <si>
    <t>david@multiplace.com.au</t>
  </si>
  <si>
    <t>Mobile</t>
  </si>
  <si>
    <t>0468 349 295</t>
  </si>
  <si>
    <t>PO Box</t>
  </si>
  <si>
    <t>PO Box 7066 Loganholme 4129</t>
  </si>
  <si>
    <t>Xero manager</t>
  </si>
  <si>
    <t>admin@multiplace.com.au</t>
  </si>
  <si>
    <t>X010AustraliaNZ</t>
  </si>
  <si>
    <t>ABN</t>
  </si>
  <si>
    <t>918 321 460</t>
  </si>
  <si>
    <t>145 576 030</t>
  </si>
  <si>
    <t>57 145 576 030</t>
  </si>
  <si>
    <t>Plug Developments</t>
  </si>
  <si>
    <t>938 155 618</t>
  </si>
  <si>
    <t>138 616 494</t>
  </si>
  <si>
    <t>38 138 616 494</t>
  </si>
  <si>
    <t xml:space="preserve">Harder Investments    </t>
  </si>
  <si>
    <t>Har</t>
  </si>
  <si>
    <t>Harder Investments ATF The Harder Super Fund</t>
  </si>
  <si>
    <t>99 460 226</t>
  </si>
  <si>
    <t>15 429 780 282</t>
  </si>
  <si>
    <t>Plug Family Trust</t>
  </si>
  <si>
    <t>910 104 450</t>
  </si>
  <si>
    <t>98 327 124 629</t>
  </si>
  <si>
    <t>013 183 981</t>
  </si>
  <si>
    <t>55/35/10</t>
  </si>
  <si>
    <t>THFT , PFT and Jonno</t>
  </si>
  <si>
    <t>160 ALPERTON ROAD , BURBANK QLD 4156</t>
  </si>
  <si>
    <t>head of group</t>
  </si>
  <si>
    <t>19/07/2012</t>
  </si>
  <si>
    <t>drafting</t>
  </si>
  <si>
    <t>licence</t>
  </si>
  <si>
    <t>The Promise Pty Ltd</t>
  </si>
  <si>
    <t>Tekna QBCC Licence</t>
  </si>
  <si>
    <t>Tekna Holding</t>
  </si>
  <si>
    <t>Prov1322 Global</t>
  </si>
  <si>
    <t>Jonno</t>
  </si>
  <si>
    <t>Sam</t>
  </si>
  <si>
    <t>Registered GST</t>
  </si>
  <si>
    <t>Cash/Accural</t>
  </si>
  <si>
    <t>Xero</t>
  </si>
  <si>
    <t xml:space="preserve">Cash </t>
  </si>
  <si>
    <t>Not Registered</t>
  </si>
  <si>
    <t>Cover</t>
  </si>
  <si>
    <t>Insured</t>
  </si>
  <si>
    <t>Renewal Date</t>
  </si>
  <si>
    <t>Monthly/Annual Payment</t>
  </si>
  <si>
    <t>Broker / Insurer</t>
  </si>
  <si>
    <t>Broker Name</t>
  </si>
  <si>
    <t>email</t>
  </si>
  <si>
    <t>Contact Number</t>
  </si>
  <si>
    <t>Policy Number</t>
  </si>
  <si>
    <t>House &amp; Contents including small Business</t>
  </si>
  <si>
    <t>Rachel Harder - Invoiced to Tekna Homes</t>
  </si>
  <si>
    <t>14.11.2023</t>
  </si>
  <si>
    <t>14.11.2024</t>
  </si>
  <si>
    <t>$15,196.46 / $1,405.98</t>
  </si>
  <si>
    <t>Shielded Insurance</t>
  </si>
  <si>
    <t xml:space="preserve">Tim Cantwell </t>
  </si>
  <si>
    <t>tim@shieldedinsurance.com.au</t>
  </si>
  <si>
    <r>
      <rPr>
        <b/>
        <sz val="11"/>
        <color theme="1"/>
        <rFont val="Calibri"/>
        <family val="2"/>
        <scheme val="minor"/>
      </rPr>
      <t xml:space="preserve">P: </t>
    </r>
    <r>
      <rPr>
        <sz val="11"/>
        <color theme="1"/>
        <rFont val="Calibri"/>
        <family val="2"/>
        <scheme val="minor"/>
      </rPr>
      <t xml:space="preserve"> 07 3710 8289</t>
    </r>
  </si>
  <si>
    <t>CGU</t>
  </si>
  <si>
    <t>06H0502850</t>
  </si>
  <si>
    <t xml:space="preserve">Construction Works &amp; Public/Products Liability </t>
  </si>
  <si>
    <t>28.11.2023</t>
  </si>
  <si>
    <t>28.11.2024</t>
  </si>
  <si>
    <t>$5483.41 pa</t>
  </si>
  <si>
    <t>HIA/AON</t>
  </si>
  <si>
    <t xml:space="preserve">Dianne Thompson </t>
  </si>
  <si>
    <t>dianne.a.thompson@aon.com</t>
  </si>
  <si>
    <r>
      <rPr>
        <b/>
        <sz val="11"/>
        <color rgb="FF000000"/>
        <rFont val="Calibri"/>
        <family val="2"/>
        <scheme val="minor"/>
      </rPr>
      <t>W:</t>
    </r>
    <r>
      <rPr>
        <sz val="11"/>
        <color rgb="FF000000"/>
        <rFont val="Calibri"/>
        <family val="2"/>
        <scheme val="minor"/>
      </rPr>
      <t xml:space="preserve"> 3012 0791  </t>
    </r>
    <r>
      <rPr>
        <b/>
        <sz val="11"/>
        <color rgb="FF000000"/>
        <rFont val="Calibri"/>
        <family val="2"/>
        <scheme val="minor"/>
      </rPr>
      <t>M:</t>
    </r>
    <r>
      <rPr>
        <sz val="11"/>
        <color rgb="FF000000"/>
        <rFont val="Calibri"/>
        <family val="2"/>
        <scheme val="minor"/>
      </rPr>
      <t xml:space="preserve"> 0416 287 476</t>
    </r>
  </si>
  <si>
    <t>323105456CAR</t>
  </si>
  <si>
    <t>Defigo Commercial Motor Vehicle - Excavator</t>
  </si>
  <si>
    <t>30.06.2023</t>
  </si>
  <si>
    <t>230.03.2024</t>
  </si>
  <si>
    <t>$137.09 m / 1490.25 pa</t>
  </si>
  <si>
    <r>
      <rPr>
        <b/>
        <sz val="11"/>
        <color rgb="FF000000"/>
        <rFont val="Calibri"/>
        <family val="2"/>
        <scheme val="minor"/>
      </rPr>
      <t>W:</t>
    </r>
    <r>
      <rPr>
        <sz val="11"/>
        <color rgb="FF000000"/>
        <rFont val="Calibri"/>
        <family val="2"/>
        <scheme val="minor"/>
      </rPr>
      <t xml:space="preserve"> 3012 0791  </t>
    </r>
    <r>
      <rPr>
        <b/>
        <sz val="11"/>
        <color rgb="FF000000"/>
        <rFont val="Calibri"/>
        <family val="2"/>
        <scheme val="minor"/>
      </rPr>
      <t>M:</t>
    </r>
    <r>
      <rPr>
        <sz val="11"/>
        <color rgb="FF000000"/>
        <rFont val="Calibri"/>
        <family val="2"/>
        <scheme val="minor"/>
      </rPr>
      <t xml:space="preserve"> 0416 287 477</t>
    </r>
    <r>
      <rPr>
        <sz val="11"/>
        <color theme="1"/>
        <rFont val="Calibri"/>
        <family val="2"/>
        <scheme val="minor"/>
      </rPr>
      <t/>
    </r>
  </si>
  <si>
    <t>446360PAMI</t>
  </si>
  <si>
    <t>Bobcat</t>
  </si>
  <si>
    <t xml:space="preserve">Isuzu Truck </t>
  </si>
  <si>
    <t>Professional Indemnity &amp; Liability</t>
  </si>
  <si>
    <t>Tekna, Tekna Drafting, Tekna Homes</t>
  </si>
  <si>
    <t>21.12.2022</t>
  </si>
  <si>
    <t>21.12.2023</t>
  </si>
  <si>
    <t>$2050 pa</t>
  </si>
  <si>
    <t>Austcover</t>
  </si>
  <si>
    <t>Becky Maddison /</t>
  </si>
  <si>
    <t>becky.maddison@austcover.com.au</t>
  </si>
  <si>
    <r>
      <t xml:space="preserve">P: </t>
    </r>
    <r>
      <rPr>
        <sz val="11"/>
        <color theme="1"/>
        <rFont val="Calibri"/>
        <family val="2"/>
        <scheme val="minor"/>
      </rPr>
      <t xml:space="preserve">07 3237 8619  </t>
    </r>
    <r>
      <rPr>
        <b/>
        <sz val="11"/>
        <color theme="1"/>
        <rFont val="Calibri"/>
        <family val="2"/>
        <scheme val="minor"/>
      </rPr>
      <t xml:space="preserve">M: </t>
    </r>
    <r>
      <rPr>
        <sz val="11"/>
        <color theme="1"/>
        <rFont val="Calibri"/>
        <family val="2"/>
        <scheme val="minor"/>
      </rPr>
      <t>0455 941 601</t>
    </r>
  </si>
  <si>
    <t>Dual WebRater</t>
  </si>
  <si>
    <t>AU00010775000/AU00010776000</t>
  </si>
  <si>
    <t>Dean Brumby</t>
  </si>
  <si>
    <t>dean.brumby@austcover.com.au</t>
  </si>
  <si>
    <t>Directors Insurance</t>
  </si>
  <si>
    <t>Average Price</t>
  </si>
  <si>
    <t>.</t>
  </si>
  <si>
    <t>Team  Harder Family Trust</t>
  </si>
  <si>
    <t>Blessing Account</t>
  </si>
  <si>
    <t>Lisa Moore</t>
  </si>
  <si>
    <t>Warners</t>
  </si>
  <si>
    <t>John and Sue</t>
  </si>
  <si>
    <t>David and Jess Quack</t>
  </si>
  <si>
    <t>Average Price Without W2G Assets</t>
  </si>
  <si>
    <t>Average Price With W2G @ 13 cents</t>
  </si>
  <si>
    <t>Ounces Purchased</t>
  </si>
  <si>
    <t>Purchase Price in AUS per Oz</t>
  </si>
  <si>
    <t>Current Price in AUS per Ounce</t>
  </si>
  <si>
    <t>Current Value</t>
  </si>
  <si>
    <t>Current Profit</t>
  </si>
  <si>
    <t>% Increase</t>
  </si>
  <si>
    <t>Tekna Homes Master Franchise Agreement</t>
  </si>
  <si>
    <t>Income received from all Franchise Fees Paid</t>
  </si>
  <si>
    <t>Tekna Share Holding</t>
  </si>
  <si>
    <t>PFT</t>
  </si>
  <si>
    <t>Tekna JV</t>
  </si>
  <si>
    <t>Own Licence to use T3D with Drafting</t>
  </si>
  <si>
    <t>Sells Licensing to use T3D</t>
  </si>
  <si>
    <t xml:space="preserve">Sells Franchise Agreements </t>
  </si>
  <si>
    <t>Current Sales</t>
  </si>
  <si>
    <t>Sells Licensing Agreement</t>
  </si>
  <si>
    <t>Hybrid Model</t>
  </si>
  <si>
    <t xml:space="preserve">We sign clients here and receive income from bank </t>
  </si>
  <si>
    <t>AFG Group which lets Torsion Homes Use it</t>
  </si>
  <si>
    <t>We purchase all Supplier to build house of New Company</t>
  </si>
  <si>
    <t>Company A T/A Tekna Homes Share Strucutre 80/20</t>
  </si>
  <si>
    <t>This is not a licenced Building Company, only a reseller of Goods</t>
  </si>
  <si>
    <t xml:space="preserve">Create special share for 100 paid up capital </t>
  </si>
  <si>
    <t>Hold 1 % of each build as a retention until 7 year structural warranty is up and then get paid out to Company A once all warranty work has been completed.</t>
  </si>
  <si>
    <t>Current Steps</t>
  </si>
  <si>
    <t>Discussion with Laywer</t>
  </si>
  <si>
    <t>Get Legal Advice</t>
  </si>
  <si>
    <t>Sign up for 5 years but if don’t sign more than 5 franchises we can exit deal.</t>
  </si>
  <si>
    <t>All marketing material is put in separate fund for 50/50 JV Local marketing initatives, if not used then gifted to local charity. ( If possible without to much overhead we will track rebate to specific areas</t>
  </si>
  <si>
    <t>Get Price to run trial Campaign to sell houses</t>
  </si>
  <si>
    <t>Max Spend is 50k</t>
  </si>
  <si>
    <t>10% of all income from Licencing agreement goes to our development fund to keep developing software to make us competative.</t>
  </si>
  <si>
    <t>Find JV Builder to Run Hybrid Model</t>
  </si>
  <si>
    <t xml:space="preserve">.5% if build in outside your zone paid to franchise </t>
  </si>
  <si>
    <t>Get working version of Software</t>
  </si>
  <si>
    <t>Marketing Committee to decide if we require more than 1% fund and how we spend the marketing money ( cant market on things outside Christian Principles )</t>
  </si>
  <si>
    <t>House Size (M2)</t>
  </si>
  <si>
    <t>Cost per m2</t>
  </si>
  <si>
    <t>Year 1</t>
  </si>
  <si>
    <t>Included if Franchise Fee</t>
  </si>
  <si>
    <t>T3D Costs (including Pure WEB)</t>
  </si>
  <si>
    <t>Fair use policy</t>
  </si>
  <si>
    <t>Easy- Build Costs</t>
  </si>
  <si>
    <t>Zoom Meetings</t>
  </si>
  <si>
    <t>Not Included</t>
  </si>
  <si>
    <t>Office 365</t>
  </si>
  <si>
    <t>Bonus if you hit 50 for the Previous Full year</t>
  </si>
  <si>
    <t>Azure ot Host Easy-Build</t>
  </si>
  <si>
    <t>PDF stuff</t>
  </si>
  <si>
    <t>Drafting Costs</t>
  </si>
  <si>
    <t>10m2 for Std Designs</t>
  </si>
  <si>
    <t>Customs as per quote</t>
  </si>
  <si>
    <t>Flights and Accomadation to Conferences</t>
  </si>
  <si>
    <t>Bonus if you hit 100 for the Previous Full year</t>
  </si>
  <si>
    <t>Bonus if you hit 150 for the Previous Full year</t>
  </si>
  <si>
    <t>Bonus if you hit 200 for the Previous Full year</t>
  </si>
  <si>
    <t>Bonus if you hit 250 for the Previous Full year</t>
  </si>
  <si>
    <t>Cost to use T3D</t>
  </si>
  <si>
    <t>T3D</t>
  </si>
  <si>
    <t>Easy-Build</t>
  </si>
  <si>
    <t>Jared</t>
  </si>
  <si>
    <t>Robert</t>
  </si>
  <si>
    <t>Kate</t>
  </si>
  <si>
    <t>Grace</t>
  </si>
  <si>
    <t>Sophie</t>
  </si>
  <si>
    <t>Off Shore</t>
  </si>
  <si>
    <t xml:space="preserve">Company Tax Return FY23 Tekna </t>
  </si>
  <si>
    <t>Consolidated Income Tax Return FY23 Tekna</t>
  </si>
  <si>
    <t>House Construction Rebate</t>
  </si>
  <si>
    <t>Tekna Trades Wages</t>
  </si>
  <si>
    <t>Tekna Kitchen Materials</t>
  </si>
  <si>
    <t>Tekna T3D</t>
  </si>
  <si>
    <t>Tekna Site</t>
  </si>
  <si>
    <t>Tekna Carpentry</t>
  </si>
  <si>
    <t>Tekna Finishing Touches</t>
  </si>
  <si>
    <t>Tekna Kitchen Labour</t>
  </si>
  <si>
    <t>Tekna Overheads</t>
  </si>
  <si>
    <t>Tekna Franchise</t>
  </si>
  <si>
    <t>Tekna Marketing</t>
  </si>
  <si>
    <t>Tekna Kitchen Material</t>
  </si>
  <si>
    <t>Tekna Coach</t>
  </si>
  <si>
    <t>Tekna Sales</t>
  </si>
  <si>
    <t>Tekna Supervisor</t>
  </si>
  <si>
    <t>Tekna Overheads Expense</t>
  </si>
  <si>
    <t>Tekna Franchise Expense</t>
  </si>
  <si>
    <t>Tekna Marketing Expense</t>
  </si>
  <si>
    <t>Tekna Coach Expense</t>
  </si>
  <si>
    <t>Tekna Sales Expense</t>
  </si>
  <si>
    <t>Tekna T3D Expense</t>
  </si>
  <si>
    <t>Tekna Supervisor Expense</t>
  </si>
  <si>
    <t>Tekna Kitchen Material Expense</t>
  </si>
  <si>
    <t>Tekna Kitchen Labour Expense</t>
  </si>
  <si>
    <t>Tekna Site Expense</t>
  </si>
  <si>
    <t>Tekna Carpentry Expense</t>
  </si>
  <si>
    <t>Tekna Finishing Touches Expense</t>
  </si>
  <si>
    <t>Tekna Admin Expense</t>
  </si>
  <si>
    <t>Tekna Insurance</t>
  </si>
  <si>
    <t>M/V Fuel</t>
  </si>
  <si>
    <t>Security Deed Rachel to Gen2612</t>
  </si>
  <si>
    <t>In Folder Called "Rachel to Gen2612"</t>
  </si>
  <si>
    <t>Loan Facility Deed Rachel to Gen2612</t>
  </si>
  <si>
    <t>Deed of Novation Gen2612</t>
  </si>
  <si>
    <t>Deed of Novation ATO</t>
  </si>
  <si>
    <t xml:space="preserve">Deed of Novation </t>
  </si>
  <si>
    <t>Deed of Novation ATO Gen2612</t>
  </si>
  <si>
    <t>BAS</t>
  </si>
  <si>
    <t>BAS Reports</t>
  </si>
  <si>
    <t>BAS Report Jan-March</t>
  </si>
  <si>
    <t>In BAS 2024FY Folder</t>
  </si>
  <si>
    <t>BAS Report April-June</t>
  </si>
  <si>
    <t>EOY NAB 767243550 FY22</t>
  </si>
  <si>
    <t>EOY NAB 767243550 FY23</t>
  </si>
  <si>
    <t>EOY NAB 767243550 FY24</t>
  </si>
  <si>
    <t>EOY WBC 709783 FY24</t>
  </si>
  <si>
    <t>EOY NAB 959276787 FY22</t>
  </si>
  <si>
    <t>EOY NAB 959276787 FY23</t>
  </si>
  <si>
    <t>EOY NAB 959276787 FY24</t>
  </si>
  <si>
    <t>EOY NAB Trade 305383521 FY22 THFT</t>
  </si>
  <si>
    <t>EOY NAB Trade 305383521 FY22</t>
  </si>
  <si>
    <t>EOY NAB Trade 305383521 FY23</t>
  </si>
  <si>
    <t>EOY NAB Trade 305383521 FY24</t>
  </si>
  <si>
    <t>EOY WBC 699669 FY24</t>
  </si>
  <si>
    <t>EOY NAB 959276787 FY22 THFT</t>
  </si>
  <si>
    <t>EOY NAB 959276787 FY23 THFT</t>
  </si>
  <si>
    <t>EOY NAB Trade 305383521 FY23 THFT</t>
  </si>
  <si>
    <t>EOY NAB Trade 305383521 FY24 THFT</t>
  </si>
  <si>
    <t>EOY WBC 699669 FY24 THFT</t>
  </si>
  <si>
    <t>EOY NAB 959276787 FY24 THFT</t>
  </si>
  <si>
    <t>EOY NAB 302971208 FY22 TH</t>
  </si>
  <si>
    <t>EOY NAB 302971208 FY23</t>
  </si>
  <si>
    <t xml:space="preserve">EOY NAB 302971208 FY22  </t>
  </si>
  <si>
    <t>EOY NAB 302971208 FY24</t>
  </si>
  <si>
    <t>EOY NAB 302971208 FY23 TH</t>
  </si>
  <si>
    <t>EOY NAB 302971208 FY24 TH</t>
  </si>
  <si>
    <t>EOY WBC 702 733 FY24 TH</t>
  </si>
  <si>
    <t xml:space="preserve">EOY WBC 702 733 FY24 </t>
  </si>
  <si>
    <t>EOY NAB 922875532 FY22 TD</t>
  </si>
  <si>
    <t>EOY NAB 922875532 FY22</t>
  </si>
  <si>
    <t>EOY NAB 922875532 FY24</t>
  </si>
  <si>
    <t>EOY NAB 922875532 FY23</t>
  </si>
  <si>
    <t>EOY NAB 922875532 FY23 TD</t>
  </si>
  <si>
    <t>EOY NAB 922875532 FY24 TD</t>
  </si>
  <si>
    <t>EOY WBC 699626 FY24 TD</t>
  </si>
  <si>
    <t xml:space="preserve">EOY WBC 699626 FY24 </t>
  </si>
  <si>
    <t>EOY NAB 268693995 FY24 TA</t>
  </si>
  <si>
    <t>EOY NAB 268693995 FY24</t>
  </si>
  <si>
    <t>EOY WBC 699642 FY24 TA</t>
  </si>
  <si>
    <t>EOY WBC 699642 FY24</t>
  </si>
  <si>
    <t>EOY NAB 199211357 FY22 Tekna</t>
  </si>
  <si>
    <t>EOY NAB 199211357 FY22</t>
  </si>
  <si>
    <t>EOY NAB 199211357 FY23</t>
  </si>
  <si>
    <t>EOY NAB 199211357 FY24</t>
  </si>
  <si>
    <t>EOY WBC 699618 FY24 Tekna</t>
  </si>
  <si>
    <t>EOY WBC 699618 FY24</t>
  </si>
  <si>
    <t>This was because we couldn’t find orginal deed and sign resigned stating it was done then</t>
  </si>
  <si>
    <t>EOY NAB 767243550 FY22 Gen2612</t>
  </si>
  <si>
    <t>EOY NAB 767243550 FY24 Gen2612</t>
  </si>
  <si>
    <t>EOY WBC 709783 FY24 Gen2612</t>
  </si>
  <si>
    <t>EOY NAB 767243550 FY23 Gen2612</t>
  </si>
  <si>
    <t>Cabinet Making Machinery</t>
  </si>
  <si>
    <t>Fixed Asset</t>
  </si>
  <si>
    <t>Cabinetry Making Machinery TH</t>
  </si>
  <si>
    <t>Cabinetry Making Machinery Invoice</t>
  </si>
  <si>
    <t>Sale of 100kg of SilverBullion</t>
  </si>
  <si>
    <t>2025-01-22 Sale Of Silver Bullion</t>
  </si>
  <si>
    <t>Sale of 141kg of SilverBullion</t>
  </si>
  <si>
    <t>2025-05-19 Sale of Silver Bullion</t>
  </si>
  <si>
    <t>Deed of Gift - Grace - 15.03.21</t>
  </si>
  <si>
    <t>Deed of Gift - Jared - 15.03.21</t>
  </si>
  <si>
    <t>Deed of Gift - Rachel - 15.03.21</t>
  </si>
  <si>
    <t>Deed of Gift - Sophie - 15.03.21</t>
  </si>
  <si>
    <t>Distribution Minute FY25 THFT</t>
  </si>
  <si>
    <t>Distribution Minutes</t>
  </si>
  <si>
    <t>Distribution Minutes FY</t>
  </si>
  <si>
    <t>EOFY Financials</t>
  </si>
  <si>
    <t>EOFY Financial Documents</t>
  </si>
  <si>
    <t>Annual Company Statement</t>
  </si>
  <si>
    <t>Engagement Letter - TEAM HARDER FAMILY TRUST PROP-8303 MAGNUS BUSINESS ADVISERS AND ACCOUNTANTS</t>
  </si>
  <si>
    <t>Financials 2024</t>
  </si>
  <si>
    <t>Tax Return 2024</t>
  </si>
  <si>
    <t>THFT - Financials 2024</t>
  </si>
  <si>
    <t>[SIGNED] Team Harder Family Trust - Financials 2024</t>
  </si>
  <si>
    <t>THFT - Tax Return 2024</t>
  </si>
  <si>
    <t>[SIGNED] Team Harder Family Trust - Tax return 2024</t>
  </si>
  <si>
    <t>[SIGNED] Gen2612 Pty Ltd - Financials 2024</t>
  </si>
  <si>
    <t>[SIGNED] Gen2612 Pty Ltd - Tax return 2024</t>
  </si>
  <si>
    <t>[SIGNED] 2024 Dividend Resolution - W2G ASSETS PTY LTD</t>
  </si>
  <si>
    <t>[SIGNED] Team Harder Super Investments Pty Ltd - Consolidated Financials 2024</t>
  </si>
  <si>
    <t>EOFY 24 Financials</t>
  </si>
  <si>
    <t>EOFY24 Tax Return</t>
  </si>
  <si>
    <t>EOFY 24 Dividend Resolution</t>
  </si>
  <si>
    <t>[SIGNED] Team Harder Super Investments Pty Ltd - Consolidated Tax Return 2024</t>
  </si>
  <si>
    <t>rachel</t>
  </si>
  <si>
    <t>PAYG - June 2025</t>
  </si>
  <si>
    <t>[SIGNED] Team Harder Super Investments Pty Ltd - PAYGIN June 2025</t>
  </si>
  <si>
    <t>2. WBC 699669 FY25 THFT 20.09.24 - 20.12.24</t>
  </si>
  <si>
    <t>Bank Statement</t>
  </si>
  <si>
    <t>3. WBC 699669 FY25 THFT 20.12.24 - 21.03.25</t>
  </si>
  <si>
    <t>4. WBC 699669 FY25 THFT 21.03.25 - 20.06.25</t>
  </si>
  <si>
    <t>2. WBC 709783 FY25 Gen2612 - 05.09.24 - 05.12.24</t>
  </si>
  <si>
    <t>3. WBC 709783 FY25 Gen2612 - 05.12.24 - 05.03.25</t>
  </si>
  <si>
    <t>4. WBC 709783 FY25 Gen2612 - 05.03.25 - 05.06.25</t>
  </si>
  <si>
    <t>1. WBC 727658 FY25 THSF - 11.07.24 - 11.10.24</t>
  </si>
  <si>
    <t>2. WBC 727658 FY25 THSF - 11.10.24 - 10.01.25</t>
  </si>
  <si>
    <t>3. WBC 727658 FY25 THSF - 10.01.25 - 11.04.25</t>
  </si>
  <si>
    <t>034-069</t>
  </si>
  <si>
    <t>698 668</t>
  </si>
  <si>
    <t>1. WBC 698668 FY25 TPQ - 14.01.25 - 14.02.25</t>
  </si>
  <si>
    <t>2. WBC 698668 FY25 TPQ - 14.02.25 - 14.05.25</t>
  </si>
  <si>
    <t>3. WBC 698668 FY25 TPQ - 14.05.25 - 13.06.25</t>
  </si>
  <si>
    <t>4. WBC 698668 FY25 TPQ - 13.06.25 - 14.07.25</t>
  </si>
  <si>
    <t>1. WBC 698668 FY26 TPQ - 13.06.25 - 14.07.25</t>
  </si>
  <si>
    <t>1. WBC 727658 FY26 THSF - 11.04.25 - 11.07.25</t>
  </si>
  <si>
    <t>4. WBC 727658 FY25 THSF - 11.04.25 - 11.07.25</t>
  </si>
  <si>
    <t>[SIGNED] Team Harder Family Trust - BAS - 2025-06-30</t>
  </si>
  <si>
    <t>THFT - BAS - 2025-06-30</t>
  </si>
  <si>
    <t xml:space="preserve">Co Invest Capital Pty Ltd </t>
  </si>
  <si>
    <t>ACN: 691 268 452</t>
  </si>
  <si>
    <t>Get an ACL Licence</t>
  </si>
  <si>
    <t>Co Invest Capital</t>
  </si>
  <si>
    <t>CIC</t>
  </si>
  <si>
    <t>no</t>
  </si>
  <si>
    <t>Certificate of Registration - Co Invest Capital.pdf</t>
  </si>
  <si>
    <t>Certifcate of Registration</t>
  </si>
  <si>
    <t>Ordinary</t>
  </si>
  <si>
    <t xml:space="preserve">Co Invest Homes Pty Ltd </t>
  </si>
  <si>
    <t>691 269 333</t>
  </si>
  <si>
    <t>Co Invest into Homes</t>
  </si>
  <si>
    <t>Jake Stanley Baird</t>
  </si>
  <si>
    <t>Class A</t>
  </si>
  <si>
    <t>Co Invest Homes</t>
  </si>
  <si>
    <t>CIH</t>
  </si>
  <si>
    <t>Certifcate of registration - Co Invest Homes.pdf</t>
  </si>
  <si>
    <t>Co Invest Group</t>
  </si>
  <si>
    <t>24.09.2026</t>
  </si>
  <si>
    <t>691 268 452</t>
  </si>
  <si>
    <t>Who is the director of Tekna</t>
  </si>
  <si>
    <t>co1nvestwithTekna</t>
  </si>
  <si>
    <t>application reference for credit licence is 220670993</t>
  </si>
  <si>
    <t>Co Invest Capital Pty Ltd</t>
  </si>
  <si>
    <t>Recovery Question</t>
  </si>
  <si>
    <t>Consolidated Tax Return FY22 Tekna Group</t>
  </si>
  <si>
    <t>Consolidated Tax Return FY23 Tekna Group</t>
  </si>
  <si>
    <t>Consolidated Tax Return FY24 Tekna Group</t>
  </si>
  <si>
    <t>Consolidated Tax Return FY24 Tekna Admin</t>
  </si>
  <si>
    <t xml:space="preserve"> Consolidated Tax Return FY24 Tekna Admin</t>
  </si>
  <si>
    <t>Tax File Number</t>
  </si>
  <si>
    <t>Co Invest Homes Tax File Number</t>
  </si>
  <si>
    <t>Incheon</t>
  </si>
  <si>
    <t>160 Alperton Road Burbank QLD 4156</t>
  </si>
  <si>
    <t>Co Invest Homes Pty Ltd sign up for ABN - reference 3617043026807</t>
  </si>
  <si>
    <t>expiry date for application is 22.11.2025</t>
  </si>
  <si>
    <t>password for application is co1nvestwithTekna</t>
  </si>
  <si>
    <t>Jake</t>
  </si>
  <si>
    <t>Baird</t>
  </si>
  <si>
    <t>855 572 024</t>
  </si>
  <si>
    <t>034-093</t>
  </si>
  <si>
    <t> 958183</t>
  </si>
  <si>
    <t>13.11.2025</t>
  </si>
  <si>
    <t>need to separate personal entities that just for say the directors o</t>
  </si>
  <si>
    <t>Client</t>
  </si>
  <si>
    <t>???</t>
  </si>
  <si>
    <t xml:space="preserve">Internal </t>
  </si>
  <si>
    <t>Referall</t>
  </si>
  <si>
    <t>External</t>
  </si>
  <si>
    <t>Job Type</t>
  </si>
  <si>
    <t>Job Status</t>
  </si>
  <si>
    <t>Job Address</t>
  </si>
  <si>
    <t>Job Estimate</t>
  </si>
  <si>
    <t xml:space="preserve">create </t>
  </si>
  <si>
    <t>robert harder</t>
  </si>
  <si>
    <t>ASIC</t>
  </si>
  <si>
    <t>ATO</t>
  </si>
  <si>
    <t xml:space="preserve">bank </t>
  </si>
  <si>
    <t>general</t>
  </si>
  <si>
    <t>loans</t>
  </si>
  <si>
    <t>minutes</t>
  </si>
  <si>
    <t>financials</t>
  </si>
  <si>
    <t xml:space="preserve">trust and structure </t>
  </si>
  <si>
    <t>thisi snew this is draft and actual financials from accountant ready to lodge the ato returns</t>
  </si>
  <si>
    <t>ppsr under loans</t>
  </si>
  <si>
    <t xml:space="preserve">gift return deed </t>
  </si>
  <si>
    <t>diviidends</t>
  </si>
  <si>
    <t>loan</t>
  </si>
  <si>
    <t>ASIC Form 484 - Director Changes</t>
  </si>
  <si>
    <t>ASIC Form 484 - Registered Office</t>
  </si>
  <si>
    <t>only diviidneds</t>
  </si>
  <si>
    <t xml:space="preserve"> T            - Tekna</t>
  </si>
  <si>
    <t xml:space="preserve">  TA           - Tekna Admin Pty LTd</t>
  </si>
  <si>
    <t xml:space="preserve">  TD           - Tekna Drafting (formerly Rock Invest</t>
  </si>
  <si>
    <t xml:space="preserve">   Qld)</t>
  </si>
  <si>
    <t xml:space="preserve">  TH           - Tekna Homes formerly Tekna Licence</t>
  </si>
  <si>
    <t xml:space="preserve">  GEN          - Gen2612</t>
  </si>
  <si>
    <t xml:space="preserve">  PROV         - Prov1322 Global</t>
  </si>
  <si>
    <t xml:space="preserve">  PROV-THFT    - Prov1322 Global ATF Team Harder</t>
  </si>
  <si>
    <t xml:space="preserve">  Family Trust</t>
  </si>
  <si>
    <t xml:space="preserve">  ROB          - Robert Harder</t>
  </si>
  <si>
    <t xml:space="preserve">  RAH          - Rachel Harder</t>
  </si>
  <si>
    <t xml:space="preserve">  CIC          - Co Invest Capital Pty Ltd</t>
  </si>
  <si>
    <t xml:space="preserve">  CIH          - Co Invest Homes Pty Ltd</t>
  </si>
  <si>
    <t xml:space="preserve">  THFT         - Team Harder</t>
  </si>
  <si>
    <t xml:space="preserve">  THSF         - Team Harder ATF Team Harder Super</t>
  </si>
  <si>
    <t xml:space="preserve">  Fund</t>
  </si>
  <si>
    <t xml:space="preserve">  THSI         - Team Harder Super Investments</t>
  </si>
  <si>
    <t xml:space="preserve">  PROM         - The Promise Family Trust</t>
  </si>
  <si>
    <t xml:space="preserve">  PROM-QLD     - The Promise QLD Pty Ltd</t>
  </si>
  <si>
    <t xml:space="preserve">  W2G          - W2G Assets</t>
  </si>
  <si>
    <t xml:space="preserve">  JH           - Jared Harder</t>
  </si>
  <si>
    <t xml:space="preserve">  GH           - Grace Harder</t>
  </si>
  <si>
    <t xml:space="preserve">  SH           - Sophie Mee-Jeong Harder</t>
  </si>
  <si>
    <t xml:space="preserve">  3. Asset Abbreviations Populated (4 assets)</t>
  </si>
  <si>
    <t xml:space="preserve">  NEV          - Commercial Building Unit 5/8</t>
  </si>
  <si>
    <t xml:space="preserve">  Nevilles Street</t>
  </si>
  <si>
    <t xml:space="preserve">  SEL-KHY      - Shared Equity Loan Khyiroya</t>
  </si>
  <si>
    <t xml:space="preserve">  SEL-MAN      - Shared Equity Loan Mansfield</t>
  </si>
  <si>
    <t xml:space="preserve">  SHARES-TH    - Shares in Tekna Homes</t>
  </si>
  <si>
    <t>T</t>
  </si>
  <si>
    <t>GEN</t>
  </si>
  <si>
    <t>Prov</t>
  </si>
  <si>
    <t>THAR</t>
  </si>
  <si>
    <t>w2g</t>
  </si>
  <si>
    <t>JH</t>
  </si>
  <si>
    <t>GH</t>
  </si>
  <si>
    <t>SH</t>
  </si>
  <si>
    <t>NEV</t>
  </si>
  <si>
    <t>SEL-KHY</t>
  </si>
  <si>
    <t>SEL-MAN</t>
  </si>
  <si>
    <t>SH-TH</t>
  </si>
  <si>
    <t>rjh</t>
  </si>
  <si>
    <t>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</si>
</sst>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[$$-409]* #,##0.00_);_([$$-409]* \(#,##0.00\);_([$$-409]* &quot;-&quot;??_);_(@_)"/>
    <numFmt numFmtId="165" formatCode="dd/mm/yyyy;@"/>
    <numFmt numFmtId="166" formatCode="_-[$$-409]* #,##0.00_ ;_-[$$-409]* \-#,##0.00\ ;_-[$$-409]* &quot;-&quot;??_ ;_-@_ "/>
    <numFmt numFmtId="167" formatCode="_-&quot;$&quot;* #,##0.0000_-;\-&quot;$&quot;* #,##0.0000_-;_-&quot;$&quot;* &quot;-&quot;??_-;_-@_-"/>
    <numFmt numFmtId="168" formatCode="0.0000%"/>
    <numFmt numFmtId="169" formatCode="_-&quot;$&quot;* #,##0.0000_-;\-&quot;$&quot;* #,##0.0000_-;_-&quot;$&quot;* &quot;-&quot;????_-;_-@_-"/>
    <numFmt numFmtId="170" formatCode="_-&quot;$&quot;* #,##0.000_-;\-&quot;$&quot;* #,##0.000_-;_-&quot;$&quot;* &quot;-&quot;??_-;_-@_-"/>
    <numFmt numFmtId="171" formatCode="_-&quot;$&quot;* #,##0.00000_-;\-&quot;$&quot;* #,##0.00000_-;_-&quot;$&quot;* &quot;-&quot;??_-;_-@_-"/>
    <numFmt numFmtId="172" formatCode="_-&quot;$&quot;* #,##0.0000000_-;\-&quot;$&quot;* #,##0.0000000_-;_-&quot;$&quot;* &quot;-&quot;??_-;_-@_-"/>
    <numFmt numFmtId="173" formatCode="0.0%"/>
    <numFmt numFmtId="174" formatCode="_-* #,##0_-;\-* #,##0_-;_-* &quot;-&quot;??_-;_-@_-"/>
    <numFmt numFmtId="175" formatCode="000000"/>
    <numFmt numFmtId="176" formatCode="_-[$$-C09]* #,##0.00_-;\-[$$-C09]* #,##0.00_-;_-[$$-C09]* &quot;-&quot;??_-;_-@_-"/>
    <numFmt numFmtId="177" formatCode="[$-F800]dddd\,\ mmmm\ dd\,\ yyyy"/>
  </numFmts>
  <fonts count="3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rgb="FF1944B5"/>
      <name val="Arial"/>
      <family val="2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rgb="FF444444"/>
      <name val="Aptos Narrow"/>
      <family val="2"/>
    </font>
    <font>
      <sz val="11"/>
      <color rgb="FF444444"/>
      <name val="Aptos Narrow"/>
      <family val="2"/>
    </font>
    <font>
      <sz val="12"/>
      <color rgb="FF000000"/>
      <name val="Calibri"/>
      <family val="2"/>
      <scheme val="minor"/>
    </font>
    <font>
      <sz val="11"/>
      <color rgb="FF181B25"/>
      <name val="Aptos Narrow"/>
      <family val="2"/>
    </font>
    <font>
      <sz val="11"/>
      <color rgb="FF000000"/>
      <name val="SourceSans"/>
      <charset val="1"/>
    </font>
    <font>
      <b/>
      <sz val="11"/>
      <color rgb="FF000000"/>
      <name val="Aptos Narrow"/>
      <family val="2"/>
    </font>
    <font>
      <sz val="11"/>
      <color rgb="FF181B25"/>
      <name val="Calibri"/>
      <family val="2"/>
      <scheme val="minor"/>
    </font>
    <font>
      <sz val="14"/>
      <color rgb="FF111827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EB9C"/>
      </patternFill>
    </fill>
    <fill>
      <patternFill patternType="solid">
        <fgColor rgb="FF70AD47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theme="9"/>
      </patternFill>
    </fill>
    <fill>
      <patternFill patternType="solid">
        <fgColor theme="7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</fills>
  <borders count="8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2">
    <xf numFmtId="0" fontId="0" fillId="0" borderId="0"/>
    <xf numFmtId="0" fontId="2" fillId="0" borderId="0" applyNumberFormat="0" applyFill="0" applyBorder="0" applyAlignment="0" applyProtection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2" fillId="8" borderId="0" applyNumberFormat="0" applyBorder="0" applyAlignment="0" applyProtection="0"/>
    <xf numFmtId="0" fontId="14" fillId="10" borderId="0" applyNumberFormat="0" applyBorder="0" applyAlignment="0" applyProtection="0"/>
    <xf numFmtId="0" fontId="15" fillId="12" borderId="0" applyNumberFormat="0" applyBorder="0" applyAlignment="0" applyProtection="0"/>
    <xf numFmtId="43" fontId="8" fillId="0" borderId="0" applyFont="0" applyFill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8" fillId="16" borderId="0" applyNumberFormat="0" applyBorder="0" applyAlignment="0" applyProtection="0"/>
  </cellStyleXfs>
  <cellXfs count="39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2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4" fontId="3" fillId="2" borderId="7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0" xfId="0" applyFont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3" borderId="10" xfId="0" applyFont="1" applyFill="1" applyBorder="1"/>
    <xf numFmtId="164" fontId="4" fillId="0" borderId="10" xfId="0" applyNumberFormat="1" applyFont="1" applyBorder="1"/>
    <xf numFmtId="164" fontId="4" fillId="0" borderId="10" xfId="0" applyNumberFormat="1" applyFont="1" applyBorder="1" applyAlignment="1">
      <alignment horizontal="center"/>
    </xf>
    <xf numFmtId="0" fontId="4" fillId="0" borderId="10" xfId="0" applyFont="1" applyBorder="1"/>
    <xf numFmtId="0" fontId="5" fillId="4" borderId="10" xfId="1" applyFont="1" applyFill="1" applyBorder="1" applyAlignment="1">
      <alignment horizontal="center"/>
    </xf>
    <xf numFmtId="14" fontId="4" fillId="0" borderId="10" xfId="0" applyNumberFormat="1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/>
    <xf numFmtId="2" fontId="4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horizontal="left" vertical="top"/>
    </xf>
    <xf numFmtId="164" fontId="4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10" xfId="0" applyFont="1" applyBorder="1"/>
    <xf numFmtId="0" fontId="5" fillId="4" borderId="10" xfId="1" applyFont="1" applyFill="1" applyBorder="1" applyAlignment="1">
      <alignment horizontal="center" wrapText="1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2" xfId="0" applyFont="1" applyBorder="1"/>
    <xf numFmtId="164" fontId="4" fillId="0" borderId="12" xfId="0" applyNumberFormat="1" applyFont="1" applyBorder="1"/>
    <xf numFmtId="164" fontId="4" fillId="0" borderId="12" xfId="0" applyNumberFormat="1" applyFont="1" applyBorder="1" applyAlignment="1">
      <alignment horizontal="center"/>
    </xf>
    <xf numFmtId="2" fontId="4" fillId="0" borderId="12" xfId="0" applyNumberFormat="1" applyFont="1" applyBorder="1" applyAlignment="1">
      <alignment horizontal="center"/>
    </xf>
    <xf numFmtId="0" fontId="5" fillId="4" borderId="12" xfId="1" applyFont="1" applyFill="1" applyBorder="1" applyAlignment="1">
      <alignment horizontal="center"/>
    </xf>
    <xf numFmtId="14" fontId="4" fillId="0" borderId="12" xfId="0" applyNumberFormat="1" applyFont="1" applyBorder="1" applyAlignment="1">
      <alignment horizontal="center"/>
    </xf>
    <xf numFmtId="0" fontId="4" fillId="0" borderId="12" xfId="0" applyFont="1" applyBorder="1" applyAlignment="1">
      <alignment horizontal="left" vertical="top"/>
    </xf>
    <xf numFmtId="0" fontId="4" fillId="0" borderId="13" xfId="0" applyFont="1" applyBorder="1"/>
    <xf numFmtId="0" fontId="4" fillId="0" borderId="0" xfId="0" applyFont="1" applyAlignment="1">
      <alignment horizontal="center"/>
    </xf>
    <xf numFmtId="164" fontId="4" fillId="0" borderId="0" xfId="0" applyNumberFormat="1" applyFont="1"/>
    <xf numFmtId="2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top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164" fontId="3" fillId="2" borderId="15" xfId="0" applyNumberFormat="1" applyFont="1" applyFill="1" applyBorder="1" applyAlignment="1">
      <alignment horizontal="center" vertical="center"/>
    </xf>
    <xf numFmtId="2" fontId="3" fillId="2" borderId="15" xfId="0" applyNumberFormat="1" applyFont="1" applyFill="1" applyBorder="1" applyAlignment="1">
      <alignment horizontal="center" vertical="center"/>
    </xf>
    <xf numFmtId="14" fontId="3" fillId="2" borderId="15" xfId="0" applyNumberFormat="1" applyFont="1" applyFill="1" applyBorder="1" applyAlignment="1">
      <alignment horizontal="center" vertical="center"/>
    </xf>
    <xf numFmtId="0" fontId="4" fillId="0" borderId="16" xfId="0" applyFont="1" applyBorder="1"/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8" xfId="0" applyFont="1" applyBorder="1"/>
    <xf numFmtId="164" fontId="4" fillId="0" borderId="18" xfId="0" applyNumberFormat="1" applyFont="1" applyBorder="1" applyAlignment="1">
      <alignment horizontal="center"/>
    </xf>
    <xf numFmtId="0" fontId="5" fillId="4" borderId="18" xfId="1" applyFont="1" applyFill="1" applyBorder="1" applyAlignment="1">
      <alignment horizontal="center"/>
    </xf>
    <xf numFmtId="14" fontId="4" fillId="0" borderId="18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top" wrapText="1"/>
    </xf>
    <xf numFmtId="0" fontId="4" fillId="0" borderId="19" xfId="0" applyFont="1" applyBorder="1"/>
    <xf numFmtId="0" fontId="4" fillId="0" borderId="14" xfId="0" applyFont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14" fontId="4" fillId="0" borderId="10" xfId="0" applyNumberFormat="1" applyFont="1" applyBorder="1" applyAlignment="1">
      <alignment horizontal="left" vertical="top"/>
    </xf>
    <xf numFmtId="0" fontId="0" fillId="0" borderId="10" xfId="0" applyBorder="1"/>
    <xf numFmtId="2" fontId="0" fillId="0" borderId="10" xfId="0" applyNumberFormat="1" applyBorder="1"/>
    <xf numFmtId="0" fontId="2" fillId="0" borderId="0" xfId="1"/>
    <xf numFmtId="9" fontId="0" fillId="0" borderId="0" xfId="2" applyFont="1"/>
    <xf numFmtId="0" fontId="3" fillId="2" borderId="2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/>
    </xf>
    <xf numFmtId="0" fontId="2" fillId="0" borderId="10" xfId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9" fillId="0" borderId="10" xfId="0" applyFont="1" applyBorder="1"/>
    <xf numFmtId="0" fontId="4" fillId="5" borderId="22" xfId="0" applyFont="1" applyFill="1" applyBorder="1" applyAlignment="1">
      <alignment horizontal="center"/>
    </xf>
    <xf numFmtId="0" fontId="10" fillId="6" borderId="25" xfId="0" applyFont="1" applyFill="1" applyBorder="1" applyAlignment="1">
      <alignment horizontal="center"/>
    </xf>
    <xf numFmtId="165" fontId="10" fillId="6" borderId="25" xfId="0" applyNumberFormat="1" applyFont="1" applyFill="1" applyBorder="1" applyAlignment="1">
      <alignment horizontal="center"/>
    </xf>
    <xf numFmtId="2" fontId="10" fillId="6" borderId="25" xfId="0" applyNumberFormat="1" applyFont="1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14" fontId="0" fillId="7" borderId="27" xfId="0" applyNumberFormat="1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2" fontId="0" fillId="7" borderId="29" xfId="0" applyNumberFormat="1" applyFill="1" applyBorder="1"/>
    <xf numFmtId="0" fontId="0" fillId="0" borderId="28" xfId="0" applyBorder="1" applyAlignment="1">
      <alignment horizontal="center"/>
    </xf>
    <xf numFmtId="14" fontId="0" fillId="0" borderId="28" xfId="0" applyNumberFormat="1" applyBorder="1" applyAlignment="1">
      <alignment horizontal="center"/>
    </xf>
    <xf numFmtId="14" fontId="0" fillId="7" borderId="28" xfId="0" applyNumberForma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7" borderId="28" xfId="0" applyFont="1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7" borderId="26" xfId="0" applyFill="1" applyBorder="1" applyAlignment="1">
      <alignment horizontal="center"/>
    </xf>
    <xf numFmtId="165" fontId="0" fillId="7" borderId="27" xfId="0" applyNumberFormat="1" applyFill="1" applyBorder="1" applyAlignment="1">
      <alignment horizontal="center"/>
    </xf>
    <xf numFmtId="2" fontId="0" fillId="7" borderId="29" xfId="0" applyNumberFormat="1" applyFill="1" applyBorder="1" applyAlignment="1">
      <alignment horizontal="center"/>
    </xf>
    <xf numFmtId="2" fontId="0" fillId="7" borderId="27" xfId="0" applyNumberFormat="1" applyFill="1" applyBorder="1" applyAlignment="1">
      <alignment horizontal="center"/>
    </xf>
    <xf numFmtId="0" fontId="0" fillId="0" borderId="26" xfId="0" applyBorder="1" applyAlignment="1">
      <alignment horizontal="center"/>
    </xf>
    <xf numFmtId="165" fontId="0" fillId="0" borderId="28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165" fontId="0" fillId="7" borderId="28" xfId="0" applyNumberFormat="1" applyFill="1" applyBorder="1" applyAlignment="1">
      <alignment horizontal="center"/>
    </xf>
    <xf numFmtId="2" fontId="0" fillId="7" borderId="28" xfId="0" applyNumberFormat="1" applyFill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7" borderId="26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7" borderId="30" xfId="0" applyFill="1" applyBorder="1" applyAlignment="1">
      <alignment horizontal="center"/>
    </xf>
    <xf numFmtId="165" fontId="0" fillId="7" borderId="31" xfId="0" applyNumberFormat="1" applyFill="1" applyBorder="1" applyAlignment="1">
      <alignment horizontal="center"/>
    </xf>
    <xf numFmtId="2" fontId="0" fillId="7" borderId="32" xfId="0" applyNumberFormat="1" applyFill="1" applyBorder="1" applyAlignment="1">
      <alignment horizontal="center"/>
    </xf>
    <xf numFmtId="2" fontId="0" fillId="7" borderId="31" xfId="0" applyNumberFormat="1" applyFill="1" applyBorder="1" applyAlignment="1">
      <alignment horizontal="center"/>
    </xf>
    <xf numFmtId="0" fontId="12" fillId="8" borderId="0" xfId="4"/>
    <xf numFmtId="44" fontId="0" fillId="0" borderId="0" xfId="3" applyFont="1"/>
    <xf numFmtId="0" fontId="3" fillId="2" borderId="0" xfId="0" applyFont="1" applyFill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4" fillId="9" borderId="10" xfId="0" applyFont="1" applyFill="1" applyBorder="1"/>
    <xf numFmtId="0" fontId="4" fillId="9" borderId="18" xfId="0" applyFont="1" applyFill="1" applyBorder="1"/>
    <xf numFmtId="0" fontId="4" fillId="9" borderId="12" xfId="0" applyFont="1" applyFill="1" applyBorder="1"/>
    <xf numFmtId="0" fontId="0" fillId="9" borderId="0" xfId="0" applyFill="1"/>
    <xf numFmtId="44" fontId="0" fillId="0" borderId="0" xfId="0" applyNumberFormat="1"/>
    <xf numFmtId="44" fontId="4" fillId="0" borderId="0" xfId="3" applyFont="1" applyAlignment="1">
      <alignment horizontal="center"/>
    </xf>
    <xf numFmtId="166" fontId="4" fillId="0" borderId="0" xfId="0" applyNumberFormat="1" applyFont="1" applyAlignment="1">
      <alignment horizontal="center"/>
    </xf>
    <xf numFmtId="14" fontId="14" fillId="10" borderId="10" xfId="5" applyNumberFormat="1" applyBorder="1" applyAlignment="1">
      <alignment horizontal="center"/>
    </xf>
    <xf numFmtId="14" fontId="14" fillId="10" borderId="18" xfId="5" applyNumberFormat="1" applyBorder="1" applyAlignment="1">
      <alignment horizontal="center"/>
    </xf>
    <xf numFmtId="0" fontId="4" fillId="11" borderId="10" xfId="0" applyFont="1" applyFill="1" applyBorder="1"/>
    <xf numFmtId="0" fontId="4" fillId="11" borderId="10" xfId="0" applyFont="1" applyFill="1" applyBorder="1" applyAlignment="1">
      <alignment horizontal="center"/>
    </xf>
    <xf numFmtId="0" fontId="5" fillId="11" borderId="10" xfId="1" applyFont="1" applyFill="1" applyBorder="1" applyAlignment="1">
      <alignment horizontal="center"/>
    </xf>
    <xf numFmtId="0" fontId="5" fillId="11" borderId="10" xfId="1" applyFont="1" applyFill="1" applyBorder="1" applyAlignment="1">
      <alignment horizontal="center" wrapText="1"/>
    </xf>
    <xf numFmtId="14" fontId="3" fillId="2" borderId="7" xfId="0" applyNumberFormat="1" applyFont="1" applyFill="1" applyBorder="1" applyAlignment="1">
      <alignment horizontal="center"/>
    </xf>
    <xf numFmtId="14" fontId="4" fillId="11" borderId="10" xfId="0" applyNumberFormat="1" applyFont="1" applyFill="1" applyBorder="1" applyAlignment="1">
      <alignment horizontal="center"/>
    </xf>
    <xf numFmtId="0" fontId="15" fillId="12" borderId="10" xfId="6" applyBorder="1" applyAlignment="1">
      <alignment horizontal="center"/>
    </xf>
    <xf numFmtId="0" fontId="15" fillId="12" borderId="10" xfId="6" applyBorder="1"/>
    <xf numFmtId="14" fontId="15" fillId="12" borderId="10" xfId="6" applyNumberFormat="1" applyBorder="1" applyAlignment="1">
      <alignment horizontal="center"/>
    </xf>
    <xf numFmtId="164" fontId="15" fillId="12" borderId="10" xfId="6" applyNumberFormat="1" applyBorder="1" applyAlignment="1">
      <alignment horizontal="center"/>
    </xf>
    <xf numFmtId="0" fontId="15" fillId="12" borderId="10" xfId="6" applyBorder="1" applyAlignment="1">
      <alignment horizontal="left" vertical="top" wrapText="1"/>
    </xf>
    <xf numFmtId="0" fontId="15" fillId="12" borderId="0" xfId="6"/>
    <xf numFmtId="0" fontId="16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center"/>
    </xf>
    <xf numFmtId="9" fontId="0" fillId="0" borderId="0" xfId="2" applyFont="1" applyAlignment="1">
      <alignment horizontal="center"/>
    </xf>
    <xf numFmtId="43" fontId="4" fillId="0" borderId="0" xfId="7" applyFont="1" applyAlignment="1">
      <alignment horizontal="center"/>
    </xf>
    <xf numFmtId="43" fontId="4" fillId="0" borderId="0" xfId="0" applyNumberFormat="1" applyFont="1" applyAlignment="1">
      <alignment horizontal="center"/>
    </xf>
    <xf numFmtId="167" fontId="4" fillId="0" borderId="0" xfId="3" applyNumberFormat="1" applyFont="1" applyAlignment="1">
      <alignment horizontal="center"/>
    </xf>
    <xf numFmtId="43" fontId="4" fillId="0" borderId="0" xfId="7" applyFont="1"/>
    <xf numFmtId="43" fontId="4" fillId="0" borderId="0" xfId="0" applyNumberFormat="1" applyFont="1"/>
    <xf numFmtId="9" fontId="4" fillId="0" borderId="0" xfId="2" applyFont="1" applyAlignment="1">
      <alignment horizontal="center"/>
    </xf>
    <xf numFmtId="168" fontId="4" fillId="0" borderId="0" xfId="2" applyNumberFormat="1" applyFont="1" applyAlignment="1">
      <alignment horizontal="center"/>
    </xf>
    <xf numFmtId="44" fontId="4" fillId="0" borderId="0" xfId="0" applyNumberFormat="1" applyFont="1"/>
    <xf numFmtId="169" fontId="4" fillId="0" borderId="0" xfId="0" applyNumberFormat="1" applyFont="1" applyAlignment="1">
      <alignment horizontal="center"/>
    </xf>
    <xf numFmtId="170" fontId="0" fillId="0" borderId="0" xfId="3" applyNumberFormat="1" applyFont="1"/>
    <xf numFmtId="43" fontId="0" fillId="0" borderId="0" xfId="7" applyFont="1"/>
    <xf numFmtId="43" fontId="0" fillId="0" borderId="35" xfId="7" applyFont="1" applyBorder="1"/>
    <xf numFmtId="44" fontId="0" fillId="0" borderId="35" xfId="3" applyFont="1" applyBorder="1"/>
    <xf numFmtId="44" fontId="17" fillId="13" borderId="35" xfId="8" applyNumberFormat="1" applyBorder="1"/>
    <xf numFmtId="170" fontId="0" fillId="0" borderId="35" xfId="3" applyNumberFormat="1" applyFont="1" applyBorder="1"/>
    <xf numFmtId="167" fontId="0" fillId="0" borderId="0" xfId="3" applyNumberFormat="1" applyFont="1"/>
    <xf numFmtId="171" fontId="0" fillId="0" borderId="0" xfId="3" applyNumberFormat="1" applyFont="1"/>
    <xf numFmtId="167" fontId="0" fillId="0" borderId="35" xfId="3" applyNumberFormat="1" applyFont="1" applyBorder="1"/>
    <xf numFmtId="172" fontId="0" fillId="0" borderId="0" xfId="3" applyNumberFormat="1" applyFont="1"/>
    <xf numFmtId="173" fontId="0" fillId="0" borderId="0" xfId="2" applyNumberFormat="1" applyFont="1"/>
    <xf numFmtId="10" fontId="0" fillId="0" borderId="0" xfId="2" applyNumberFormat="1" applyFont="1"/>
    <xf numFmtId="10" fontId="0" fillId="0" borderId="0" xfId="2" applyNumberFormat="1" applyFont="1" applyAlignment="1">
      <alignment horizontal="center"/>
    </xf>
    <xf numFmtId="43" fontId="0" fillId="0" borderId="0" xfId="7" applyFont="1" applyAlignment="1">
      <alignment horizontal="center"/>
    </xf>
    <xf numFmtId="44" fontId="17" fillId="14" borderId="0" xfId="9" applyNumberFormat="1"/>
    <xf numFmtId="167" fontId="17" fillId="14" borderId="0" xfId="9" applyNumberFormat="1"/>
    <xf numFmtId="174" fontId="0" fillId="0" borderId="0" xfId="7" applyNumberFormat="1" applyFont="1" applyAlignment="1">
      <alignment horizontal="center"/>
    </xf>
    <xf numFmtId="0" fontId="1" fillId="0" borderId="0" xfId="0" applyFont="1"/>
    <xf numFmtId="0" fontId="18" fillId="0" borderId="0" xfId="0" applyFont="1" applyAlignment="1">
      <alignment horizontal="center"/>
    </xf>
    <xf numFmtId="0" fontId="18" fillId="0" borderId="0" xfId="0" applyFont="1"/>
    <xf numFmtId="0" fontId="0" fillId="0" borderId="25" xfId="0" applyBorder="1"/>
    <xf numFmtId="0" fontId="0" fillId="0" borderId="25" xfId="0" applyBorder="1" applyAlignment="1">
      <alignment horizontal="center"/>
    </xf>
    <xf numFmtId="9" fontId="0" fillId="0" borderId="25" xfId="2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7" xfId="0" applyBorder="1"/>
    <xf numFmtId="9" fontId="0" fillId="0" borderId="0" xfId="2" applyFont="1" applyBorder="1" applyAlignment="1">
      <alignment horizontal="center"/>
    </xf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9" fontId="0" fillId="0" borderId="54" xfId="2" applyFont="1" applyBorder="1" applyAlignment="1">
      <alignment horizontal="center"/>
    </xf>
    <xf numFmtId="9" fontId="0" fillId="0" borderId="55" xfId="2" applyFont="1" applyBorder="1" applyAlignment="1">
      <alignment horizontal="center"/>
    </xf>
    <xf numFmtId="9" fontId="0" fillId="0" borderId="56" xfId="2" applyFont="1" applyBorder="1" applyAlignment="1">
      <alignment horizontal="center"/>
    </xf>
    <xf numFmtId="0" fontId="0" fillId="0" borderId="39" xfId="0" applyBorder="1"/>
    <xf numFmtId="0" fontId="0" fillId="0" borderId="57" xfId="0" applyBorder="1"/>
    <xf numFmtId="0" fontId="0" fillId="0" borderId="40" xfId="0" applyBorder="1"/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41" xfId="0" applyBorder="1"/>
    <xf numFmtId="0" fontId="0" fillId="0" borderId="58" xfId="0" applyBorder="1"/>
    <xf numFmtId="0" fontId="0" fillId="0" borderId="42" xfId="0" applyBorder="1"/>
    <xf numFmtId="0" fontId="0" fillId="0" borderId="59" xfId="0" applyBorder="1" applyAlignment="1">
      <alignment horizontal="center"/>
    </xf>
    <xf numFmtId="9" fontId="0" fillId="0" borderId="59" xfId="2" applyFont="1" applyBorder="1" applyAlignment="1">
      <alignment horizontal="center"/>
    </xf>
    <xf numFmtId="0" fontId="0" fillId="0" borderId="59" xfId="0" applyBorder="1"/>
    <xf numFmtId="0" fontId="0" fillId="0" borderId="0" xfId="0" applyAlignment="1">
      <alignment horizontal="left"/>
    </xf>
    <xf numFmtId="173" fontId="0" fillId="0" borderId="45" xfId="2" applyNumberFormat="1" applyFont="1" applyBorder="1"/>
    <xf numFmtId="44" fontId="0" fillId="0" borderId="46" xfId="3" applyFont="1" applyBorder="1"/>
    <xf numFmtId="174" fontId="0" fillId="0" borderId="0" xfId="7" applyNumberFormat="1" applyFont="1" applyBorder="1"/>
    <xf numFmtId="0" fontId="0" fillId="0" borderId="35" xfId="0" applyBorder="1"/>
    <xf numFmtId="44" fontId="0" fillId="0" borderId="0" xfId="3" applyFont="1" applyBorder="1"/>
    <xf numFmtId="44" fontId="0" fillId="0" borderId="61" xfId="0" applyNumberFormat="1" applyBorder="1"/>
    <xf numFmtId="173" fontId="0" fillId="0" borderId="47" xfId="2" applyNumberFormat="1" applyFont="1" applyBorder="1"/>
    <xf numFmtId="44" fontId="0" fillId="0" borderId="59" xfId="3" applyFont="1" applyBorder="1"/>
    <xf numFmtId="0" fontId="0" fillId="0" borderId="48" xfId="0" applyBorder="1"/>
    <xf numFmtId="44" fontId="0" fillId="0" borderId="0" xfId="3" applyFont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35" xfId="0" applyNumberFormat="1" applyBorder="1" applyAlignment="1">
      <alignment horizontal="center"/>
    </xf>
    <xf numFmtId="0" fontId="19" fillId="0" borderId="62" xfId="0" applyFont="1" applyBorder="1" applyAlignment="1">
      <alignment wrapText="1"/>
    </xf>
    <xf numFmtId="0" fontId="19" fillId="0" borderId="62" xfId="0" applyFont="1" applyBorder="1" applyAlignment="1">
      <alignment horizontal="center" wrapText="1"/>
    </xf>
    <xf numFmtId="0" fontId="19" fillId="5" borderId="62" xfId="0" applyFont="1" applyFill="1" applyBorder="1" applyAlignment="1">
      <alignment wrapText="1"/>
    </xf>
    <xf numFmtId="0" fontId="19" fillId="0" borderId="62" xfId="0" applyFont="1" applyBorder="1"/>
    <xf numFmtId="0" fontId="20" fillId="0" borderId="62" xfId="0" applyFont="1" applyBorder="1"/>
    <xf numFmtId="0" fontId="19" fillId="0" borderId="62" xfId="0" applyFont="1" applyBorder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68" fontId="0" fillId="0" borderId="0" xfId="2" applyNumberFormat="1" applyFont="1" applyAlignment="1">
      <alignment horizontal="center"/>
    </xf>
    <xf numFmtId="164" fontId="2" fillId="0" borderId="0" xfId="1" applyNumberFormat="1" applyAlignment="1">
      <alignment horizontal="center"/>
    </xf>
    <xf numFmtId="176" fontId="4" fillId="0" borderId="0" xfId="0" applyNumberFormat="1" applyFont="1" applyAlignment="1">
      <alignment horizontal="center" vertical="center"/>
    </xf>
    <xf numFmtId="44" fontId="4" fillId="0" borderId="0" xfId="3" applyFont="1" applyAlignment="1">
      <alignment horizontal="center" vertical="center"/>
    </xf>
    <xf numFmtId="9" fontId="4" fillId="0" borderId="0" xfId="2" applyFont="1"/>
    <xf numFmtId="164" fontId="21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8" fontId="0" fillId="0" borderId="0" xfId="0" applyNumberFormat="1" applyAlignment="1">
      <alignment horizontal="left"/>
    </xf>
    <xf numFmtId="173" fontId="4" fillId="0" borderId="0" xfId="2" applyNumberFormat="1" applyFont="1" applyAlignment="1">
      <alignment horizontal="center"/>
    </xf>
    <xf numFmtId="166" fontId="4" fillId="0" borderId="0" xfId="0" applyNumberFormat="1" applyFont="1"/>
    <xf numFmtId="2" fontId="4" fillId="0" borderId="0" xfId="0" applyNumberFormat="1" applyFont="1" applyAlignment="1">
      <alignment horizontal="center" vertical="center"/>
    </xf>
    <xf numFmtId="0" fontId="0" fillId="0" borderId="65" xfId="0" applyBorder="1" applyAlignment="1">
      <alignment horizontal="center"/>
    </xf>
    <xf numFmtId="0" fontId="0" fillId="0" borderId="65" xfId="0" applyBorder="1"/>
    <xf numFmtId="14" fontId="0" fillId="0" borderId="65" xfId="0" applyNumberFormat="1" applyBorder="1"/>
    <xf numFmtId="0" fontId="8" fillId="16" borderId="65" xfId="11" applyBorder="1"/>
    <xf numFmtId="14" fontId="8" fillId="16" borderId="65" xfId="11" applyNumberFormat="1" applyBorder="1" applyAlignment="1">
      <alignment horizontal="center"/>
    </xf>
    <xf numFmtId="0" fontId="8" fillId="16" borderId="65" xfId="11" applyBorder="1" applyAlignment="1">
      <alignment horizontal="center"/>
    </xf>
    <xf numFmtId="14" fontId="8" fillId="16" borderId="65" xfId="11" applyNumberFormat="1" applyBorder="1"/>
    <xf numFmtId="0" fontId="8" fillId="16" borderId="69" xfId="11" applyBorder="1"/>
    <xf numFmtId="0" fontId="0" fillId="0" borderId="69" xfId="0" applyBorder="1"/>
    <xf numFmtId="0" fontId="8" fillId="16" borderId="70" xfId="11" applyBorder="1" applyAlignment="1">
      <alignment horizontal="center"/>
    </xf>
    <xf numFmtId="0" fontId="4" fillId="0" borderId="69" xfId="0" applyFont="1" applyBorder="1"/>
    <xf numFmtId="0" fontId="0" fillId="0" borderId="70" xfId="0" applyBorder="1"/>
    <xf numFmtId="0" fontId="8" fillId="16" borderId="70" xfId="11" applyBorder="1"/>
    <xf numFmtId="0" fontId="21" fillId="0" borderId="68" xfId="0" applyFont="1" applyBorder="1"/>
    <xf numFmtId="0" fontId="22" fillId="0" borderId="66" xfId="0" applyFont="1" applyBorder="1"/>
    <xf numFmtId="0" fontId="22" fillId="16" borderId="65" xfId="11" applyFont="1" applyBorder="1"/>
    <xf numFmtId="0" fontId="22" fillId="0" borderId="65" xfId="0" applyFont="1" applyBorder="1"/>
    <xf numFmtId="0" fontId="22" fillId="0" borderId="69" xfId="0" applyFont="1" applyBorder="1"/>
    <xf numFmtId="0" fontId="22" fillId="16" borderId="69" xfId="11" applyFont="1" applyBorder="1"/>
    <xf numFmtId="0" fontId="21" fillId="0" borderId="69" xfId="0" applyFont="1" applyBorder="1"/>
    <xf numFmtId="14" fontId="0" fillId="0" borderId="65" xfId="0" applyNumberFormat="1" applyBorder="1" applyAlignment="1">
      <alignment horizontal="center"/>
    </xf>
    <xf numFmtId="0" fontId="14" fillId="10" borderId="0" xfId="5"/>
    <xf numFmtId="14" fontId="0" fillId="16" borderId="65" xfId="11" applyNumberFormat="1" applyFont="1" applyBorder="1" applyAlignment="1">
      <alignment horizontal="center"/>
    </xf>
    <xf numFmtId="0" fontId="0" fillId="16" borderId="65" xfId="11" applyFont="1" applyBorder="1"/>
    <xf numFmtId="0" fontId="0" fillId="16" borderId="65" xfId="11" applyFont="1" applyBorder="1" applyAlignment="1">
      <alignment horizontal="center"/>
    </xf>
    <xf numFmtId="0" fontId="0" fillId="16" borderId="70" xfId="11" applyFont="1" applyBorder="1" applyAlignment="1">
      <alignment horizontal="center"/>
    </xf>
    <xf numFmtId="0" fontId="0" fillId="16" borderId="70" xfId="11" applyFont="1" applyBorder="1"/>
    <xf numFmtId="0" fontId="0" fillId="16" borderId="69" xfId="11" applyFont="1" applyBorder="1"/>
    <xf numFmtId="0" fontId="0" fillId="16" borderId="65" xfId="11" applyNumberFormat="1" applyFont="1" applyBorder="1" applyAlignment="1">
      <alignment horizontal="center"/>
    </xf>
    <xf numFmtId="0" fontId="2" fillId="10" borderId="0" xfId="1" applyFill="1"/>
    <xf numFmtId="14" fontId="8" fillId="16" borderId="65" xfId="11" applyNumberFormat="1" applyBorder="1" applyAlignment="1"/>
    <xf numFmtId="0" fontId="14" fillId="10" borderId="0" xfId="5" applyAlignment="1">
      <alignment horizontal="center"/>
    </xf>
    <xf numFmtId="0" fontId="14" fillId="10" borderId="18" xfId="5" applyBorder="1" applyAlignment="1">
      <alignment horizontal="center"/>
    </xf>
    <xf numFmtId="164" fontId="14" fillId="10" borderId="0" xfId="5" applyNumberFormat="1" applyAlignment="1">
      <alignment horizontal="center"/>
    </xf>
    <xf numFmtId="0" fontId="14" fillId="10" borderId="10" xfId="5" applyBorder="1" applyAlignment="1">
      <alignment horizontal="center"/>
    </xf>
    <xf numFmtId="0" fontId="14" fillId="10" borderId="9" xfId="5" applyBorder="1" applyAlignment="1">
      <alignment horizontal="center"/>
    </xf>
    <xf numFmtId="0" fontId="14" fillId="10" borderId="10" xfId="5" applyBorder="1"/>
    <xf numFmtId="2" fontId="14" fillId="10" borderId="10" xfId="5" applyNumberFormat="1" applyBorder="1"/>
    <xf numFmtId="0" fontId="14" fillId="10" borderId="0" xfId="5" applyBorder="1"/>
    <xf numFmtId="164" fontId="14" fillId="10" borderId="10" xfId="5" applyNumberFormat="1" applyBorder="1" applyAlignment="1">
      <alignment horizontal="center"/>
    </xf>
    <xf numFmtId="2" fontId="14" fillId="10" borderId="10" xfId="5" applyNumberFormat="1" applyBorder="1" applyAlignment="1">
      <alignment horizontal="center"/>
    </xf>
    <xf numFmtId="0" fontId="22" fillId="0" borderId="66" xfId="0" applyFont="1" applyBorder="1" applyAlignment="1">
      <alignment horizontal="center"/>
    </xf>
    <xf numFmtId="0" fontId="22" fillId="16" borderId="65" xfId="11" applyFont="1" applyBorder="1" applyAlignment="1">
      <alignment horizontal="center"/>
    </xf>
    <xf numFmtId="0" fontId="22" fillId="0" borderId="65" xfId="0" applyFont="1" applyBorder="1" applyAlignment="1">
      <alignment horizontal="center"/>
    </xf>
    <xf numFmtId="0" fontId="0" fillId="0" borderId="70" xfId="0" applyBorder="1" applyAlignment="1">
      <alignment horizontal="center"/>
    </xf>
    <xf numFmtId="2" fontId="0" fillId="0" borderId="65" xfId="0" applyNumberFormat="1" applyBorder="1" applyAlignment="1">
      <alignment horizontal="center"/>
    </xf>
    <xf numFmtId="0" fontId="24" fillId="0" borderId="0" xfId="0" applyFont="1" applyAlignment="1">
      <alignment horizontal="center"/>
    </xf>
    <xf numFmtId="177" fontId="14" fillId="10" borderId="10" xfId="5" applyNumberFormat="1" applyBorder="1" applyAlignment="1">
      <alignment horizontal="center"/>
    </xf>
    <xf numFmtId="177" fontId="4" fillId="0" borderId="0" xfId="3" applyNumberFormat="1" applyFont="1" applyAlignment="1">
      <alignment horizontal="center"/>
    </xf>
    <xf numFmtId="177" fontId="4" fillId="0" borderId="0" xfId="0" applyNumberFormat="1" applyFont="1" applyAlignment="1">
      <alignment horizontal="center"/>
    </xf>
    <xf numFmtId="177" fontId="14" fillId="10" borderId="10" xfId="5" applyNumberFormat="1" applyBorder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0" fillId="16" borderId="65" xfId="11" applyFont="1" applyBorder="1" applyAlignment="1"/>
    <xf numFmtId="0" fontId="8" fillId="16" borderId="65" xfId="11" applyBorder="1" applyAlignment="1"/>
    <xf numFmtId="177" fontId="4" fillId="0" borderId="10" xfId="0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2" fontId="8" fillId="16" borderId="65" xfId="11" applyNumberFormat="1" applyBorder="1" applyAlignment="1">
      <alignment horizontal="center"/>
    </xf>
    <xf numFmtId="0" fontId="8" fillId="16" borderId="70" xfId="11" applyBorder="1" applyAlignment="1"/>
    <xf numFmtId="2" fontId="0" fillId="16" borderId="65" xfId="11" applyNumberFormat="1" applyFont="1" applyBorder="1" applyAlignment="1">
      <alignment horizontal="center"/>
    </xf>
    <xf numFmtId="0" fontId="26" fillId="0" borderId="0" xfId="0" applyFont="1"/>
    <xf numFmtId="0" fontId="26" fillId="0" borderId="0" xfId="0" applyFont="1" applyAlignment="1">
      <alignment horizontal="center"/>
    </xf>
    <xf numFmtId="14" fontId="26" fillId="0" borderId="0" xfId="0" applyNumberFormat="1" applyFont="1" applyAlignment="1">
      <alignment horizontal="center"/>
    </xf>
    <xf numFmtId="49" fontId="26" fillId="0" borderId="0" xfId="0" applyNumberFormat="1" applyFont="1" applyAlignment="1">
      <alignment horizontal="center"/>
    </xf>
    <xf numFmtId="175" fontId="1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7" fillId="0" borderId="77" xfId="0" applyFont="1" applyBorder="1" applyAlignment="1">
      <alignment horizontal="center"/>
    </xf>
    <xf numFmtId="0" fontId="4" fillId="17" borderId="0" xfId="6" applyFont="1" applyFill="1" applyBorder="1"/>
    <xf numFmtId="14" fontId="22" fillId="16" borderId="65" xfId="1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4" fontId="25" fillId="0" borderId="0" xfId="0" applyNumberFormat="1" applyFont="1" applyAlignment="1">
      <alignment horizontal="center"/>
    </xf>
    <xf numFmtId="0" fontId="11" fillId="0" borderId="65" xfId="0" applyFont="1" applyBorder="1" applyAlignment="1">
      <alignment horizontal="center"/>
    </xf>
    <xf numFmtId="0" fontId="11" fillId="16" borderId="65" xfId="11" applyFont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175" fontId="22" fillId="0" borderId="0" xfId="0" applyNumberFormat="1" applyFont="1" applyAlignment="1">
      <alignment horizontal="center"/>
    </xf>
    <xf numFmtId="175" fontId="0" fillId="0" borderId="0" xfId="0" applyNumberFormat="1" applyAlignment="1">
      <alignment horizontal="center"/>
    </xf>
    <xf numFmtId="0" fontId="0" fillId="0" borderId="77" xfId="0" applyBorder="1"/>
    <xf numFmtId="14" fontId="0" fillId="0" borderId="77" xfId="0" applyNumberFormat="1" applyBorder="1" applyAlignment="1">
      <alignment horizontal="center"/>
    </xf>
    <xf numFmtId="175" fontId="0" fillId="0" borderId="77" xfId="0" applyNumberFormat="1" applyBorder="1" applyAlignment="1">
      <alignment horizontal="center"/>
    </xf>
    <xf numFmtId="0" fontId="0" fillId="0" borderId="77" xfId="0" applyBorder="1" applyAlignment="1">
      <alignment horizontal="center"/>
    </xf>
    <xf numFmtId="0" fontId="29" fillId="0" borderId="0" xfId="0" applyFont="1"/>
    <xf numFmtId="0" fontId="21" fillId="0" borderId="0" xfId="0" applyFont="1"/>
    <xf numFmtId="0" fontId="15" fillId="17" borderId="0" xfId="6" applyFill="1" applyBorder="1"/>
    <xf numFmtId="175" fontId="4" fillId="0" borderId="0" xfId="0" applyNumberFormat="1" applyFont="1" applyAlignment="1">
      <alignment horizontal="center"/>
    </xf>
    <xf numFmtId="0" fontId="6" fillId="0" borderId="77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15" fillId="12" borderId="0" xfId="6" applyAlignment="1">
      <alignment horizontal="center"/>
    </xf>
    <xf numFmtId="0" fontId="5" fillId="0" borderId="10" xfId="1" applyFont="1" applyFill="1" applyBorder="1" applyAlignment="1">
      <alignment horizontal="center"/>
    </xf>
    <xf numFmtId="0" fontId="2" fillId="0" borderId="10" xfId="1" applyFill="1" applyBorder="1" applyAlignment="1">
      <alignment horizontal="center"/>
    </xf>
    <xf numFmtId="0" fontId="12" fillId="0" borderId="9" xfId="4" applyFill="1" applyBorder="1" applyAlignment="1">
      <alignment horizontal="center"/>
    </xf>
    <xf numFmtId="177" fontId="4" fillId="0" borderId="10" xfId="0" applyNumberFormat="1" applyFont="1" applyBorder="1"/>
    <xf numFmtId="177" fontId="4" fillId="0" borderId="10" xfId="0" applyNumberFormat="1" applyFont="1" applyBorder="1" applyAlignment="1" applyProtection="1">
      <alignment horizontal="center"/>
      <protection locked="0"/>
    </xf>
    <xf numFmtId="0" fontId="12" fillId="0" borderId="3" xfId="4" applyFill="1" applyBorder="1" applyAlignment="1">
      <alignment horizontal="center"/>
    </xf>
    <xf numFmtId="177" fontId="4" fillId="0" borderId="12" xfId="0" applyNumberFormat="1" applyFont="1" applyBorder="1"/>
    <xf numFmtId="177" fontId="4" fillId="0" borderId="12" xfId="0" applyNumberFormat="1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3" fillId="2" borderId="78" xfId="0" applyFont="1" applyFill="1" applyBorder="1" applyAlignment="1">
      <alignment horizontal="center" vertical="center"/>
    </xf>
    <xf numFmtId="0" fontId="3" fillId="2" borderId="79" xfId="0" applyFont="1" applyFill="1" applyBorder="1" applyAlignment="1">
      <alignment horizontal="center" vertical="center"/>
    </xf>
    <xf numFmtId="177" fontId="3" fillId="2" borderId="79" xfId="0" applyNumberFormat="1" applyFont="1" applyFill="1" applyBorder="1" applyAlignment="1">
      <alignment horizontal="center" vertical="center"/>
    </xf>
    <xf numFmtId="164" fontId="3" fillId="2" borderId="79" xfId="0" applyNumberFormat="1" applyFont="1" applyFill="1" applyBorder="1" applyAlignment="1">
      <alignment horizontal="center" vertical="center"/>
    </xf>
    <xf numFmtId="2" fontId="3" fillId="2" borderId="79" xfId="0" applyNumberFormat="1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23" fillId="15" borderId="49" xfId="10" applyFont="1" applyBorder="1" applyAlignment="1"/>
    <xf numFmtId="0" fontId="25" fillId="0" borderId="46" xfId="0" applyFont="1" applyBorder="1" applyAlignment="1">
      <alignment horizontal="center"/>
    </xf>
    <xf numFmtId="0" fontId="0" fillId="0" borderId="71" xfId="0" applyBorder="1"/>
    <xf numFmtId="0" fontId="0" fillId="0" borderId="72" xfId="0" applyBorder="1" applyAlignment="1">
      <alignment horizontal="center"/>
    </xf>
    <xf numFmtId="14" fontId="0" fillId="0" borderId="72" xfId="0" applyNumberFormat="1" applyBorder="1" applyAlignment="1">
      <alignment horizontal="center"/>
    </xf>
    <xf numFmtId="0" fontId="0" fillId="0" borderId="73" xfId="0" applyBorder="1" applyAlignment="1">
      <alignment horizontal="center"/>
    </xf>
    <xf numFmtId="0" fontId="14" fillId="10" borderId="17" xfId="5" applyBorder="1" applyAlignment="1">
      <alignment horizontal="center"/>
    </xf>
    <xf numFmtId="0" fontId="14" fillId="10" borderId="18" xfId="5" applyBorder="1"/>
    <xf numFmtId="2" fontId="14" fillId="10" borderId="18" xfId="5" applyNumberFormat="1" applyBorder="1"/>
    <xf numFmtId="177" fontId="14" fillId="10" borderId="18" xfId="5" applyNumberFormat="1" applyBorder="1" applyAlignment="1">
      <alignment horizontal="center" vertical="center"/>
    </xf>
    <xf numFmtId="164" fontId="14" fillId="10" borderId="0" xfId="5" applyNumberFormat="1" applyBorder="1" applyAlignment="1">
      <alignment horizontal="center"/>
    </xf>
    <xf numFmtId="2" fontId="14" fillId="10" borderId="0" xfId="5" applyNumberFormat="1" applyBorder="1" applyAlignment="1">
      <alignment horizontal="center"/>
    </xf>
    <xf numFmtId="0" fontId="14" fillId="10" borderId="21" xfId="5" applyBorder="1" applyAlignment="1">
      <alignment horizontal="center"/>
    </xf>
    <xf numFmtId="0" fontId="14" fillId="10" borderId="10" xfId="5" applyBorder="1" applyAlignment="1" applyProtection="1">
      <alignment horizontal="center"/>
      <protection locked="0"/>
    </xf>
    <xf numFmtId="0" fontId="14" fillId="10" borderId="12" xfId="5" applyBorder="1" applyAlignment="1">
      <alignment horizontal="center"/>
    </xf>
    <xf numFmtId="0" fontId="14" fillId="10" borderId="10" xfId="5" applyBorder="1" applyAlignment="1">
      <alignment horizontal="center" wrapText="1"/>
    </xf>
    <xf numFmtId="0" fontId="0" fillId="0" borderId="65" xfId="0" applyBorder="1" applyAlignment="1">
      <alignment horizontal="left"/>
    </xf>
    <xf numFmtId="14" fontId="0" fillId="0" borderId="65" xfId="0" applyNumberFormat="1" applyBorder="1" applyAlignment="1">
      <alignment horizontal="left"/>
    </xf>
    <xf numFmtId="0" fontId="0" fillId="0" borderId="70" xfId="0" applyBorder="1" applyAlignment="1">
      <alignment horizontal="left"/>
    </xf>
    <xf numFmtId="0" fontId="0" fillId="0" borderId="57" xfId="0" applyBorder="1" applyAlignment="1">
      <alignment horizontal="left"/>
    </xf>
    <xf numFmtId="44" fontId="0" fillId="0" borderId="0" xfId="3" applyFont="1" applyAlignment="1">
      <alignment horizontal="left"/>
    </xf>
    <xf numFmtId="0" fontId="10" fillId="18" borderId="66" xfId="0" applyFont="1" applyFill="1" applyBorder="1" applyAlignment="1">
      <alignment horizontal="center"/>
    </xf>
    <xf numFmtId="14" fontId="10" fillId="18" borderId="66" xfId="0" applyNumberFormat="1" applyFont="1" applyFill="1" applyBorder="1" applyAlignment="1">
      <alignment horizontal="center"/>
    </xf>
    <xf numFmtId="0" fontId="10" fillId="18" borderId="80" xfId="0" applyFont="1" applyFill="1" applyBorder="1" applyAlignment="1">
      <alignment horizontal="center"/>
    </xf>
    <xf numFmtId="2" fontId="14" fillId="10" borderId="0" xfId="5" applyNumberFormat="1"/>
    <xf numFmtId="2" fontId="14" fillId="10" borderId="0" xfId="5" applyNumberFormat="1" applyAlignment="1">
      <alignment horizontal="center"/>
    </xf>
    <xf numFmtId="177" fontId="14" fillId="10" borderId="0" xfId="5" applyNumberFormat="1" applyAlignment="1">
      <alignment horizontal="center"/>
    </xf>
    <xf numFmtId="1" fontId="8" fillId="16" borderId="65" xfId="7" applyNumberFormat="1" applyFill="1" applyBorder="1" applyAlignment="1">
      <alignment horizontal="center"/>
    </xf>
    <xf numFmtId="1" fontId="0" fillId="0" borderId="69" xfId="7" applyNumberFormat="1" applyFont="1" applyBorder="1" applyAlignment="1">
      <alignment horizontal="center"/>
    </xf>
    <xf numFmtId="0" fontId="0" fillId="0" borderId="69" xfId="0" applyBorder="1" applyAlignment="1">
      <alignment horizontal="center"/>
    </xf>
    <xf numFmtId="0" fontId="11" fillId="0" borderId="81" xfId="0" applyFont="1" applyBorder="1" applyAlignment="1">
      <alignment horizontal="center"/>
    </xf>
    <xf numFmtId="0" fontId="0" fillId="0" borderId="82" xfId="0" applyBorder="1" applyAlignment="1">
      <alignment horizontal="center"/>
    </xf>
    <xf numFmtId="14" fontId="0" fillId="0" borderId="82" xfId="0" applyNumberFormat="1" applyBorder="1" applyAlignment="1">
      <alignment horizontal="center"/>
    </xf>
    <xf numFmtId="165" fontId="0" fillId="0" borderId="82" xfId="0" applyNumberFormat="1" applyBorder="1" applyAlignment="1">
      <alignment horizontal="center"/>
    </xf>
    <xf numFmtId="0" fontId="0" fillId="0" borderId="83" xfId="0" applyBorder="1" applyAlignment="1">
      <alignment horizontal="center"/>
    </xf>
    <xf numFmtId="2" fontId="0" fillId="7" borderId="82" xfId="0" applyNumberFormat="1" applyFill="1" applyBorder="1" applyAlignment="1">
      <alignment horizontal="center"/>
    </xf>
    <xf numFmtId="14" fontId="0" fillId="7" borderId="31" xfId="0" applyNumberFormat="1" applyFill="1" applyBorder="1" applyAlignment="1">
      <alignment horizontal="center"/>
    </xf>
    <xf numFmtId="0" fontId="30" fillId="0" borderId="0" xfId="0" applyFont="1"/>
    <xf numFmtId="0" fontId="31" fillId="0" borderId="0" xfId="0" applyFont="1"/>
    <xf numFmtId="0" fontId="23" fillId="15" borderId="49" xfId="10" applyFont="1" applyBorder="1" applyAlignment="1">
      <alignment horizontal="center"/>
    </xf>
    <xf numFmtId="0" fontId="23" fillId="15" borderId="67" xfId="10" applyFont="1" applyBorder="1" applyAlignment="1">
      <alignment horizontal="center"/>
    </xf>
    <xf numFmtId="0" fontId="23" fillId="15" borderId="50" xfId="10" applyFont="1" applyBorder="1" applyAlignment="1">
      <alignment horizontal="center"/>
    </xf>
    <xf numFmtId="0" fontId="0" fillId="0" borderId="65" xfId="0" applyBorder="1" applyAlignment="1">
      <alignment horizontal="center"/>
    </xf>
    <xf numFmtId="0" fontId="8" fillId="16" borderId="65" xfId="11" applyBorder="1" applyAlignment="1">
      <alignment horizontal="center"/>
    </xf>
    <xf numFmtId="0" fontId="0" fillId="16" borderId="65" xfId="11" applyFont="1" applyBorder="1" applyAlignment="1">
      <alignment horizontal="center"/>
    </xf>
    <xf numFmtId="0" fontId="0" fillId="16" borderId="70" xfId="11" applyFont="1" applyBorder="1" applyAlignment="1">
      <alignment horizontal="center"/>
    </xf>
    <xf numFmtId="0" fontId="0" fillId="16" borderId="74" xfId="11" applyFont="1" applyBorder="1" applyAlignment="1">
      <alignment horizontal="center"/>
    </xf>
    <xf numFmtId="0" fontId="0" fillId="16" borderId="75" xfId="11" applyFont="1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0" fontId="0" fillId="16" borderId="76" xfId="11" applyFont="1" applyBorder="1" applyAlignment="1">
      <alignment horizontal="center"/>
    </xf>
    <xf numFmtId="0" fontId="8" fillId="16" borderId="70" xfId="11" applyBorder="1" applyAlignment="1">
      <alignment horizontal="center"/>
    </xf>
    <xf numFmtId="0" fontId="19" fillId="0" borderId="63" xfId="0" applyFont="1" applyBorder="1" applyAlignment="1">
      <alignment horizontal="center" wrapText="1"/>
    </xf>
    <xf numFmtId="0" fontId="19" fillId="0" borderId="64" xfId="0" applyFont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0" borderId="43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</cellXfs>
  <cellStyles count="12">
    <cellStyle name="20% - Accent3" xfId="11" builtinId="38"/>
    <cellStyle name="Accent3" xfId="10" builtinId="37"/>
    <cellStyle name="Accent4" xfId="9" builtinId="41"/>
    <cellStyle name="Accent6" xfId="8" builtinId="49"/>
    <cellStyle name="Bad" xfId="6" builtinId="27"/>
    <cellStyle name="Comma" xfId="7" builtinId="3"/>
    <cellStyle name="Currency" xfId="3" builtinId="4"/>
    <cellStyle name="Good" xfId="5" builtinId="26"/>
    <cellStyle name="Hyperlink" xfId="1" builtinId="8"/>
    <cellStyle name="Neutral" xfId="4" builtinId="28"/>
    <cellStyle name="Normal" xfId="0" builtinId="0"/>
    <cellStyle name="Percent" xfId="2" builtinId="5"/>
  </cellStyles>
  <dxfs count="341"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77" formatCode="[$-F800]dddd\,\ mmmm\ dd\,\ 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77" formatCode="[$-F800]dddd\,\ mmmm\ dd\,\ yyyy"/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34" formatCode="_-&quot;$&quot;* #,##0.00_-;\-&quot;$&quot;* #,##0.00_-;_-&quot;$&quot;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34" formatCode="_-&quot;$&quot;* #,##0.00_-;\-&quot;$&quot;* #,##0.00_-;_-&quot;$&quot;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34" formatCode="_-&quot;$&quot;* #,##0.00_-;\-&quot;$&quot;* #,##0.00_-;_-&quot;$&quot;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34" formatCode="_-&quot;$&quot;* #,##0.00_-;\-&quot;$&quot;* #,##0.00_-;_-&quot;$&quot;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371950</xdr:colOff>
      <xdr:row>18</xdr:row>
      <xdr:rowOff>0</xdr:rowOff>
    </xdr:from>
    <xdr:to>
      <xdr:col>5</xdr:col>
      <xdr:colOff>386710</xdr:colOff>
      <xdr:row>19</xdr:row>
      <xdr:rowOff>79310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EB004F9-8E2B-052B-192F-20AFF3658093}"/>
                </a:ext>
              </a:extLst>
            </xdr14:cNvPr>
            <xdr14:cNvContentPartPr/>
          </xdr14:nvContentPartPr>
          <xdr14:nvPr macro=""/>
          <xdr14:xfrm>
            <a:off x="6522840" y="2500920"/>
            <a:ext cx="14760" cy="1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EB004F9-8E2B-052B-192F-20AFF365809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13840" y="2491920"/>
              <a:ext cx="32400" cy="19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7-18T07:31:11.33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40 3 360 0 0,'0'0'2539'0'0,"-5"0"-2710"0"0,-23-2 5483 0 0,21 1-6853 0 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A6AD0D40-0E45-4074-821F-6EBAB9DBE759}" name="Table16115963" displayName="Table16115963" ref="B70:Q97" totalsRowShown="0" headerRowDxfId="340" dataDxfId="339">
  <autoFilter ref="B70:Q97" xr:uid="{25AF81B3-DBAC-40C5-8E99-FA8DBF67F1CB}"/>
  <tableColumns count="16">
    <tableColumn id="1" xr3:uid="{46950132-FAFD-487E-8526-4772C377C699}" name="Date" dataDxfId="338"/>
    <tableColumn id="13" xr3:uid="{186AD468-1D77-4092-8ED2-99D12A8FC84A}" name="Issue, transfer,share split, buy back or Cancelation" dataDxfId="337"/>
    <tableColumn id="2" xr3:uid="{33A68E9A-A1A2-42F6-84D5-B38DA3D33B6F}" name="Class of Share" dataDxfId="336"/>
    <tableColumn id="3" xr3:uid="{994D186E-0619-40FA-9216-7FB58E6F19E9}" name="Certification Number" dataDxfId="335"/>
    <tableColumn id="4" xr3:uid="{D1B22644-D828-472E-AB94-66C94E53A2CC}" name="Serial Number From" dataDxfId="334"/>
    <tableColumn id="5" xr3:uid="{769C3E45-F080-4510-8293-FEDC1682B99A}" name="Serial Number To" dataDxfId="333"/>
    <tableColumn id="6" xr3:uid="{C5032E3E-4C63-49DF-B411-8A705B1CDDC9}" name="Number of Shares Aquired" dataDxfId="332"/>
    <tableColumn id="7" xr3:uid="{5E0501BA-7678-4BC1-9761-0B1F380ED482}" name="Trf'd to / Trf'd from" dataDxfId="331"/>
    <tableColumn id="8" xr3:uid="{F4529AD6-AA64-4F16-AB6D-3BF580091522}" name="Amount Paid Per Share" dataDxfId="330" dataCellStyle="Currency"/>
    <tableColumn id="9" xr3:uid="{6A6B6862-1CE5-42A8-88C6-4976D027C1BA}" name="Amount Unpaid per Share" dataDxfId="329"/>
    <tableColumn id="14" xr3:uid="{21906047-8B5B-41C6-ABFE-DDE566D97B52}" name="Fully Paid? (Y/N)" dataDxfId="328"/>
    <tableColumn id="10" xr3:uid="{F3A161C3-F84C-4745-AC46-36C5BD3FC5AF}" name="Total Number os Shares Held" dataDxfId="327"/>
    <tableColumn id="11" xr3:uid="{1E760781-7067-452E-8E00-649010AC98B9}" name="Total Amount paid fo the shares" dataDxfId="326" dataCellStyle="Currency"/>
    <tableColumn id="12" xr3:uid="{69B8AB11-0D87-4BD3-B611-78C01FE9D7B8}" name="Are the Shares Benedicially Held" dataDxfId="325"/>
    <tableColumn id="15" xr3:uid="{B59F6C79-6BC0-4F53-A4BF-AF70B27B96C7}" name="Owner / Buyer / Seller" dataDxfId="324"/>
    <tableColumn id="17" xr3:uid="{9BBAE410-AF83-4207-9F91-592CE62578E5}" name="ASIC Document Number" dataDxfId="32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414AA4D4-F8C8-4445-BCA1-233FB194D8D0}" name="Table27126064" displayName="Table27126064" ref="B100:G106" totalsRowShown="0">
  <autoFilter ref="B100:G106" xr:uid="{4E2287C6-AD1B-45AF-9498-357AC56F07FC}"/>
  <tableColumns count="6">
    <tableColumn id="1" xr3:uid="{562E9864-5C5A-4072-87DB-46B658943EDE}" name="From"/>
    <tableColumn id="2" xr3:uid="{B5B54E19-8BC8-469E-9DCE-332358E66028}" name="To"/>
    <tableColumn id="3" xr3:uid="{84F488CA-A64D-4A7C-B62D-1B3509EF57E3}" name="Amount"/>
    <tableColumn id="4" xr3:uid="{033D2CA4-98F8-4C74-93CB-4D9D5F5D2B40}" name="Date"/>
    <tableColumn id="5" xr3:uid="{DC83A73A-A3C3-4922-BC59-4EE9212FE77A}" name="Security"/>
    <tableColumn id="6" xr3:uid="{0B7C536D-E098-4D53-824C-E5B7E33B54D5}" name="PPSR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A3BABCD1-B767-4A4B-9948-7C2BE4BAAB12}" name="Table79136165" displayName="Table79136165" ref="B109:H127" totalsRowShown="0">
  <autoFilter ref="B109:H127" xr:uid="{D74208A7-2477-458E-B7C7-42B491F56C62}"/>
  <tableColumns count="7">
    <tableColumn id="1" xr3:uid="{CF3BDAD9-967C-480E-8285-857C72C1A09F}" name="Item"/>
    <tableColumn id="2" xr3:uid="{0FC554B2-CC29-4A8A-B9B8-E0302BBC254E}" name="Purchase Date"/>
    <tableColumn id="3" xr3:uid="{5B534B45-D41B-483A-9FED-460FB6B47A64}" name="Purchase Price"/>
    <tableColumn id="4" xr3:uid="{0B7D29CC-8744-40E7-A0E5-F701537F3B68}" name="Sale Date"/>
    <tableColumn id="5" xr3:uid="{5C1FEC75-8ED8-49D2-9878-E2A9FF5C5941}" name="Sale Price"/>
    <tableColumn id="7" xr3:uid="{C4564A40-6909-4048-9462-CFEB85C89030}" name="Depreciation"/>
    <tableColumn id="6" xr3:uid="{DAE373F5-F6FC-4AA7-A0D3-70151A65BD6D}" name="Profit" dataDxfId="322">
      <calculatedColumnFormula>Table79136165[[#This Row],[Sale Price]]-Table79136165[[#This Row],[Purchase Price]]+Table79136165[[#This Row],[Depreciation]]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E87FADDB-8012-4477-85BD-817BE8892B33}" name="Table96266" displayName="Table96266" ref="B30:H68" totalsRowShown="0" headerRowDxfId="321">
  <autoFilter ref="B30:H68" xr:uid="{C023E9AF-2873-48A9-9B76-629859D4DFE7}"/>
  <tableColumns count="7">
    <tableColumn id="1" xr3:uid="{340DBADC-971F-48A3-92EA-C0EACA99570F}" name="Company Register"/>
    <tableColumn id="2" xr3:uid="{E409C3E0-C315-4AC3-8891-2C43DD68ACC7}" name="Type"/>
    <tableColumn id="3" xr3:uid="{63091695-11E0-4F76-B7A2-AFC1136D8240}" name="Folder">
      <calculatedColumnFormula>VLOOKUP(C31,'Document Type'!$B$6:$C$34,2,FALSE)</calculatedColumnFormula>
    </tableColumn>
    <tableColumn id="4" xr3:uid="{5DAA1A38-DBCE-45D2-962C-885DC77C44DC}" name="Date"/>
    <tableColumn id="5" xr3:uid="{0E0E1B5F-F329-4544-99CC-0D45490FDC88}" name="Manual"/>
    <tableColumn id="6" xr3:uid="{E437B2B9-3D54-4049-974C-0C568AFABE52}" name="Electronicaly Stored"/>
    <tableColumn id="7" xr3:uid="{3093D9B2-1611-4F2C-AD97-66EBCFF91D6A}" name="By Whom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FA289279-FA52-46E8-A18E-189ECF15C38C}" name="Table161159" displayName="Table161159" ref="B65:Q92" totalsRowShown="0" headerRowDxfId="320" dataDxfId="319">
  <autoFilter ref="B65:Q92" xr:uid="{25AF81B3-DBAC-40C5-8E99-FA8DBF67F1CB}"/>
  <tableColumns count="16">
    <tableColumn id="1" xr3:uid="{83CB2DB3-633E-4ED2-BB7D-DE7CC15216B2}" name="Date" dataDxfId="318"/>
    <tableColumn id="13" xr3:uid="{F8F67D15-BDAE-461B-9CFA-E3C489FAD64B}" name="Issue, transfer,share split, buy back or Cancelation" dataDxfId="317"/>
    <tableColumn id="2" xr3:uid="{9E68C15E-FAEF-431A-9062-16250CBAB4EA}" name="Class of Share" dataDxfId="316"/>
    <tableColumn id="3" xr3:uid="{C7F4C850-92A0-4594-AAC2-ACE5CEDB5C21}" name="Certification Number" dataDxfId="315"/>
    <tableColumn id="4" xr3:uid="{D75ED4BF-A5CA-4146-8B57-AD403FA361E3}" name="Serial Number From" dataDxfId="314"/>
    <tableColumn id="5" xr3:uid="{6A8295C1-82F1-47BE-82D7-14839DAE9B6C}" name="Serial Number To" dataDxfId="313"/>
    <tableColumn id="6" xr3:uid="{33207375-42F1-415C-909B-76AF10EC9ABD}" name="Number of Shares Aquired" dataDxfId="312"/>
    <tableColumn id="7" xr3:uid="{EEBE451E-3373-494A-9CE1-1FD7A34F834B}" name="Trf'd to / Trf'd from" dataDxfId="311"/>
    <tableColumn id="8" xr3:uid="{8566CB35-4FE3-4918-8470-3BD7A30213E3}" name="Amount Paid Per Share" dataDxfId="310" dataCellStyle="Currency"/>
    <tableColumn id="9" xr3:uid="{6D534C4D-4C91-4520-B8E6-126E7A8FA799}" name="Amount Unpaid per Share" dataDxfId="309"/>
    <tableColumn id="14" xr3:uid="{D0050B17-395D-4A77-9F06-A20529C7CA4E}" name="Fully Paid? (Y/N)" dataDxfId="308"/>
    <tableColumn id="10" xr3:uid="{FF8CC725-BBD5-4192-94BF-A43BC1FBCE3A}" name="Total Number os Shares Held" dataDxfId="307"/>
    <tableColumn id="11" xr3:uid="{D9C1C840-6181-4C9C-825E-5EE7D9BD00DB}" name="Total Amount paid fo the shares" dataDxfId="306" dataCellStyle="Currency"/>
    <tableColumn id="12" xr3:uid="{0B43430D-E7DB-4B0F-9F6B-410ABDC75D02}" name="Are the Shares Benedicially Held" dataDxfId="305"/>
    <tableColumn id="15" xr3:uid="{85DACA5C-6EF9-470F-8DF2-42F43BAE2DED}" name="Owner / Buyer / Seller" dataDxfId="304"/>
    <tableColumn id="17" xr3:uid="{3B3D4E65-C892-498C-A30F-5733BD3524D7}" name="ASIC Document Number" dataDxfId="303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EBB3959B-0E33-41A1-9B6D-0CD2B0909AA4}" name="Table271260" displayName="Table271260" ref="B95:G101" totalsRowShown="0">
  <autoFilter ref="B95:G101" xr:uid="{4E2287C6-AD1B-45AF-9498-357AC56F07FC}"/>
  <tableColumns count="6">
    <tableColumn id="1" xr3:uid="{35322C53-BDC5-46F7-9206-D9C61106FF81}" name="From"/>
    <tableColumn id="2" xr3:uid="{F1BC0153-31FB-497D-BA2D-56B06C4FB1A1}" name="To"/>
    <tableColumn id="3" xr3:uid="{DA41228B-CB05-4C8A-9798-FC2980644F4E}" name="Amount"/>
    <tableColumn id="4" xr3:uid="{FB50C589-AB36-46F6-9289-E47650E98767}" name="Date"/>
    <tableColumn id="5" xr3:uid="{95776181-0271-4068-BCAF-599AE96F9EA5}" name="Security"/>
    <tableColumn id="6" xr3:uid="{ADECDE4A-7E4E-4684-A059-89D918C5F3BC}" name="PPSR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D66234D4-3B8F-4364-8539-ADE54233E695}" name="Table791361" displayName="Table791361" ref="B104:H122" totalsRowShown="0">
  <autoFilter ref="B104:H122" xr:uid="{D74208A7-2477-458E-B7C7-42B491F56C62}"/>
  <tableColumns count="7">
    <tableColumn id="1" xr3:uid="{1C8107A9-5923-41CE-A9DC-D3A3B78CFDEB}" name="Item"/>
    <tableColumn id="2" xr3:uid="{F60E1998-BB0F-48F1-A5CD-168421DA984C}" name="Purchase Date"/>
    <tableColumn id="3" xr3:uid="{2536B9DA-7FA5-4571-9F17-FDAD8F627927}" name="Purchase Price"/>
    <tableColumn id="4" xr3:uid="{1FE6C233-63CB-4E4C-9675-6C2DC58E1DF4}" name="Sale Date"/>
    <tableColumn id="5" xr3:uid="{EC2B93AF-D28B-4CF7-A670-1E67621A9DBC}" name="Sale Price"/>
    <tableColumn id="7" xr3:uid="{6561ACDD-9ED0-4B90-9EBB-C6C1B9DDD576}" name="Depreciation"/>
    <tableColumn id="6" xr3:uid="{035A0AD7-4BEC-4726-BC68-6A9FCE2D09E7}" name="Profit" dataDxfId="302">
      <calculatedColumnFormula>Table791361[[#This Row],[Sale Price]]-Table791361[[#This Row],[Purchase Price]]+Table791361[[#This Row],[Depreciation]]</calculatedColumnFormula>
    </tableColumn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34A0F71E-9F0B-4FF3-96F7-D9E5E947C5FB}" name="Table962" displayName="Table962" ref="B26:H62" totalsRowShown="0" headerRowDxfId="301">
  <autoFilter ref="B26:H62" xr:uid="{C023E9AF-2873-48A9-9B76-629859D4DFE7}"/>
  <tableColumns count="7">
    <tableColumn id="1" xr3:uid="{15640AF2-E54A-44D5-87F1-572EFE0EB68B}" name="Company Register"/>
    <tableColumn id="2" xr3:uid="{156112E2-7B62-4EA8-8850-19C2FBBC65C5}" name="Type"/>
    <tableColumn id="3" xr3:uid="{8EC37AF2-C720-4991-8FE2-D9FCE85DD0F1}" name="Folder">
      <calculatedColumnFormula>VLOOKUP(C27,'Document Type'!$B$6:$C$34,2,FALSE)</calculatedColumnFormula>
    </tableColumn>
    <tableColumn id="4" xr3:uid="{B7504530-2C2F-44F4-B1CD-4FAB51DE9A76}" name="Date"/>
    <tableColumn id="5" xr3:uid="{E0BF1E14-5105-48A3-B9AE-306A720F2FB9}" name="Manual"/>
    <tableColumn id="6" xr3:uid="{79C525BD-DADF-423F-98C1-E1A53C4093C3}" name="Electronicaly Stored"/>
    <tableColumn id="7" xr3:uid="{54B5B7BB-693E-4613-8DFE-0E787F71FEAC}" name="By Whom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AFE9F9C-5CB1-477F-BE7D-629B14E338FC}" name="Table54" displayName="Table54" ref="B26:H61" totalsRowShown="0" headerRowDxfId="300">
  <autoFilter ref="B26:H61" xr:uid="{C023E9AF-2873-48A9-9B76-629859D4DFE7}"/>
  <tableColumns count="7">
    <tableColumn id="1" xr3:uid="{746B1F0D-6377-467E-9E4E-90A4F4C29732}" name="Company Register"/>
    <tableColumn id="2" xr3:uid="{4C238A4F-FF49-4403-8827-A636AD2DA744}" name="Type"/>
    <tableColumn id="3" xr3:uid="{3011D95C-A34C-491C-BCAC-3A0D8A9BA065}" name="Folder">
      <calculatedColumnFormula>VLOOKUP(C27,'Document Type'!$B$6:$C$34,2,FALSE)</calculatedColumnFormula>
    </tableColumn>
    <tableColumn id="4" xr3:uid="{98A1111C-4E6E-4454-86B4-E64EF0EEFD86}" name="Date"/>
    <tableColumn id="5" xr3:uid="{A007EE5A-522C-47D9-AF8D-B05CCC332283}" name="Manual"/>
    <tableColumn id="6" xr3:uid="{3C5DDE84-B908-4DAB-BD7E-B48B753BD99B}" name="Electronicaly Stored"/>
    <tableColumn id="7" xr3:uid="{9AFC9A84-88A1-4E92-8A93-EABD5351AE74}" name="By Whom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C27DC89B-E99F-4FBF-AB1C-0A77DAAD694E}" name="Table161156" displayName="Table161156" ref="B64:Q90" totalsRowShown="0" headerRowDxfId="299" dataDxfId="298">
  <autoFilter ref="B64:Q90" xr:uid="{C27DC89B-E99F-4FBF-AB1C-0A77DAAD694E}"/>
  <tableColumns count="16">
    <tableColumn id="1" xr3:uid="{AF90B660-ADC5-4772-B9D5-6A977BB100A3}" name="Date" dataDxfId="297"/>
    <tableColumn id="13" xr3:uid="{2AA2B094-7E0F-446F-A3C1-E9F7C08C2239}" name="Issue, transfer,share split, buy back or Cancelation" dataDxfId="296"/>
    <tableColumn id="2" xr3:uid="{77966D49-A631-42D2-8502-2CB87BA26358}" name="Class of Share" dataDxfId="295"/>
    <tableColumn id="3" xr3:uid="{022B0EC3-0B58-4FE6-AE80-646266E3AC8E}" name="Certification Number" dataDxfId="294"/>
    <tableColumn id="4" xr3:uid="{2611B324-C104-4746-8154-FEAF67563DCA}" name="Serial Number From" dataDxfId="293"/>
    <tableColumn id="5" xr3:uid="{2CCCEEF0-7C16-4263-8F0B-F8C51A1D744A}" name="Serial Number To" dataDxfId="292"/>
    <tableColumn id="6" xr3:uid="{E5DC1842-E431-4068-91C8-C2B6FB140EF3}" name="Number of Shares Aquired" dataDxfId="291"/>
    <tableColumn id="7" xr3:uid="{10F42580-C896-4934-B3B9-C393C144E408}" name="Trf'd to / Trf'd from" dataDxfId="290"/>
    <tableColumn id="8" xr3:uid="{E25EC6AE-ED16-4385-830D-0B546991A5D6}" name="Amount Paid Per Share" dataDxfId="289" dataCellStyle="Currency"/>
    <tableColumn id="9" xr3:uid="{AAA0CEC8-F5FA-4C04-91ED-34116646CA28}" name="Amount Unpaid per Share" dataDxfId="288"/>
    <tableColumn id="14" xr3:uid="{D07CE11D-3DAF-4344-B3D3-A6B4B76566E2}" name="Fully Paid? (Y/N)" dataDxfId="287"/>
    <tableColumn id="10" xr3:uid="{F1009404-DBAA-44BD-9529-5B238BBD1C33}" name="Total Number os Shares Held" dataDxfId="286"/>
    <tableColumn id="11" xr3:uid="{41C8D4DA-1F56-42E1-A6C5-1515464FC8A8}" name="Total Amount paid fo the shares" dataDxfId="285" dataCellStyle="Currency"/>
    <tableColumn id="12" xr3:uid="{8A48CEAC-62B5-419C-B344-BDF3B81AA18C}" name="Are the Shares Benedicially Held" dataDxfId="284"/>
    <tableColumn id="15" xr3:uid="{F5E9C8B4-25FC-4DDD-B85A-F05CF882B5B6}" name="Owner / Buyer / Seller" dataDxfId="283"/>
    <tableColumn id="17" xr3:uid="{0EE00059-33D0-448A-A8D5-A721E273B06A}" name="ASIC Document Number" dataDxfId="282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47AFCEE-96CD-4F84-BBA7-CF8F04E81028}" name="Table271257" displayName="Table271257" ref="B93:G99" totalsRowShown="0">
  <autoFilter ref="B93:G99" xr:uid="{447AFCEE-96CD-4F84-BBA7-CF8F04E81028}"/>
  <tableColumns count="6">
    <tableColumn id="1" xr3:uid="{45ECE593-6E29-4CCA-B539-C20638D3E9FD}" name="From"/>
    <tableColumn id="2" xr3:uid="{F504F299-9585-47D5-AB72-2D21A14CA5D8}" name="To"/>
    <tableColumn id="3" xr3:uid="{03997A81-7B3F-44B6-B3B6-450F70CB6883}" name="Amount"/>
    <tableColumn id="4" xr3:uid="{BB12745F-BC89-479F-B378-C7D3909E23C3}" name="Date"/>
    <tableColumn id="5" xr3:uid="{5613AB42-703E-4977-9B0C-E875BD484E9C}" name="Security"/>
    <tableColumn id="6" xr3:uid="{C3C95444-AD65-4E03-803B-2D55F3280202}" name="PPSR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D02246F-FE11-40B1-A8E9-75DBE7F4D9BA}" name="Table791358" displayName="Table791358" ref="B102:G120" totalsRowShown="0">
  <autoFilter ref="B102:G120" xr:uid="{7D02246F-FE11-40B1-A8E9-75DBE7F4D9BA}"/>
  <tableColumns count="6">
    <tableColumn id="1" xr3:uid="{2DC900D9-EE8F-4270-A90E-58264682532B}" name="Item"/>
    <tableColumn id="2" xr3:uid="{A149A0BB-60CC-49B9-A351-5847E6F4CD35}" name="Purchase Date"/>
    <tableColumn id="3" xr3:uid="{B8C3368C-2D17-4741-83E4-BEBF96478DC9}" name="Purchase Price"/>
    <tableColumn id="4" xr3:uid="{6C926AD6-A11B-47A7-BAEF-09D20F35F90D}" name="Sale Date"/>
    <tableColumn id="5" xr3:uid="{F9EE1949-4C39-43B7-99C8-62CAF81AE0F6}" name="Sale Price"/>
    <tableColumn id="6" xr3:uid="{7491950F-864B-4F91-915F-7E56F2E2C3A3}" name="Profit" dataDxfId="281">
      <calculatedColumnFormula>Table791358[[#This Row],[Purchase Price]]-Table791358[[#This Row],[Sale Price]]</calculatedColumnFormula>
    </tableColumn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150BD50C-9F4D-48B2-A7E7-7BD2DE3E5BE8}" name="Table50" displayName="Table50" ref="B26:H65" totalsRowShown="0" headerRowDxfId="280">
  <autoFilter ref="B26:H65" xr:uid="{150BD50C-9F4D-48B2-A7E7-7BD2DE3E5BE8}"/>
  <tableColumns count="7">
    <tableColumn id="1" xr3:uid="{D4EBE64E-304E-4D3A-8FC9-6AC9F59CFD4C}" name="Company Register"/>
    <tableColumn id="2" xr3:uid="{FFCDC335-2178-4AC4-BB38-B1FD09D57A1D}" name="Type"/>
    <tableColumn id="3" xr3:uid="{5374C9F3-D881-4132-9098-82B68E96387C}" name="Folder"/>
    <tableColumn id="4" xr3:uid="{95126D84-3D88-42CD-9F56-1E7E91A828FF}" name="Date"/>
    <tableColumn id="5" xr3:uid="{619E42EB-5F39-410C-BE30-ACC8B6B3042F}" name="Manual"/>
    <tableColumn id="6" xr3:uid="{7F4743F6-927A-4E0B-87F5-C60DD70FE7AF}" name="Electronicaly Stored"/>
    <tableColumn id="7" xr3:uid="{E727B975-E468-48BE-A13D-66257329C81B}" name="By Whom"/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3AD8AE5-0007-4121-BE8E-58B2A1F971E2}" name="Table161152" displayName="Table161152" ref="B68:Q94" totalsRowShown="0" headerRowDxfId="279" dataDxfId="278">
  <autoFilter ref="B68:Q94" xr:uid="{33AD8AE5-0007-4121-BE8E-58B2A1F971E2}"/>
  <tableColumns count="16">
    <tableColumn id="1" xr3:uid="{EA89C599-1203-489B-BC35-8AE581BCB26C}" name="Date" dataDxfId="277"/>
    <tableColumn id="13" xr3:uid="{DC589A3B-1073-42BC-B179-673D2BF95796}" name="Issue, transfer,share split, buy back or Cancelation" dataDxfId="276"/>
    <tableColumn id="2" xr3:uid="{8FF7544F-5EAF-449E-A138-BA4E761EE05F}" name="Class of Share" dataDxfId="275"/>
    <tableColumn id="3" xr3:uid="{7C837CC6-30F2-4D6B-AE5B-A6E845822E97}" name="Certification Number" dataDxfId="274"/>
    <tableColumn id="4" xr3:uid="{C1B25837-3E02-4739-B1E6-82C3A2263633}" name="Serial Number From" dataDxfId="273"/>
    <tableColumn id="5" xr3:uid="{4C8ED61C-BB80-47F7-B934-E0B9E732BFAF}" name="Serial Number To" dataDxfId="272"/>
    <tableColumn id="6" xr3:uid="{444D30EB-EC7A-4CE7-8A24-46836D0FF9C1}" name="Number of Shares Aquired" dataDxfId="271"/>
    <tableColumn id="7" xr3:uid="{B0054992-D2EE-4692-97F4-D5595D940BD5}" name="Trf'd to / Trf'd from" dataDxfId="270"/>
    <tableColumn id="8" xr3:uid="{8E3478AE-27B0-436E-B9E9-3EE5295BD33F}" name="Amount Paid Per Share" dataDxfId="269" dataCellStyle="Currency"/>
    <tableColumn id="9" xr3:uid="{2EA5EB59-2992-4C98-9B4B-606AB4A1B480}" name="Amount Unpaid per Share" dataDxfId="268"/>
    <tableColumn id="14" xr3:uid="{0CFE8162-53B1-4A5B-9C36-E13CA85A1EE2}" name="Fully Paid? (Y/N)" dataDxfId="267"/>
    <tableColumn id="10" xr3:uid="{F69ECB7C-FED9-4075-9B99-4327741B4E7D}" name="Total Number os Shares Held" dataDxfId="266"/>
    <tableColumn id="11" xr3:uid="{BEF58772-303D-446D-97F6-ED65574FF7A9}" name="Total Amount paid fo the shares" dataDxfId="265" dataCellStyle="Currency"/>
    <tableColumn id="12" xr3:uid="{24054D05-D9E6-420B-BF8A-944DB98B4AED}" name="Are the Shares Benedicially Held" dataDxfId="264"/>
    <tableColumn id="15" xr3:uid="{6E666791-E79C-49E1-B65B-E6353993C3E2}" name="Owner / Buyer / Seller" dataDxfId="263"/>
    <tableColumn id="17" xr3:uid="{919E6BB4-9ECB-450D-9E25-94C125204872}" name="ASIC Document Number" dataDxfId="262"/>
  </tableColumns>
  <tableStyleInfo name="TableStyleMedium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80588E4-7075-4B66-AAF1-82B35A97A31C}" name="Table271253" displayName="Table271253" ref="B97:G103" totalsRowShown="0">
  <autoFilter ref="B97:G103" xr:uid="{080588E4-7075-4B66-AAF1-82B35A97A31C}"/>
  <tableColumns count="6">
    <tableColumn id="1" xr3:uid="{7C72702C-858F-4E98-83F1-1B5F4C5772E3}" name="From"/>
    <tableColumn id="2" xr3:uid="{28788DB6-5409-4658-8075-BE351452F4E5}" name="To"/>
    <tableColumn id="3" xr3:uid="{60234D93-CFD2-490E-A504-0D5D82C6C06B}" name="Amount"/>
    <tableColumn id="4" xr3:uid="{07386F8D-9F7D-4A17-850F-8BC5AA5143A8}" name="Date"/>
    <tableColumn id="5" xr3:uid="{341698A4-B5EE-4059-9A86-7BD89EC9C9BC}" name="Security"/>
    <tableColumn id="6" xr3:uid="{9C99C8D7-773D-4AED-B22D-8AA5E0C0F72E}" name="PPSR"/>
  </tableColumns>
  <tableStyleInfo name="TableStyleMedium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E1E123B0-44F1-4B1A-AC5C-3257875F67C5}" name="Table791354" displayName="Table791354" ref="B106:G124" totalsRowShown="0">
  <autoFilter ref="B106:G124" xr:uid="{E1E123B0-44F1-4B1A-AC5C-3257875F67C5}"/>
  <tableColumns count="6">
    <tableColumn id="1" xr3:uid="{84FD9368-EEB8-4C92-93D3-C05B2129D548}" name="Item"/>
    <tableColumn id="2" xr3:uid="{E6299F81-587E-49FB-B8F6-A9BD7BA8654D}" name="Purchase Date"/>
    <tableColumn id="3" xr3:uid="{9A1FFC09-2743-4E35-966F-789ADF257B76}" name="Purchase Price"/>
    <tableColumn id="4" xr3:uid="{78497F76-95E0-4AB4-8208-04F64B957C21}" name="Sale Date"/>
    <tableColumn id="5" xr3:uid="{255B188F-7D08-4C58-8DFA-7821A188216F}" name="Sale Price"/>
    <tableColumn id="6" xr3:uid="{0C04F4BD-148E-4C92-A785-875EFDF31096}" name="Profit" dataDxfId="261">
      <calculatedColumnFormula>Table791354[[#This Row],[Purchase Price]]-Table791354[[#This Row],[Sale Price]]</calculatedColumnFormula>
    </tableColumn>
  </tableColumns>
  <tableStyleInfo name="TableStyleMedium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5C883C7-5A6B-4E9F-B851-9E878472252B}" name="Table26" displayName="Table26" ref="B26:H73" totalsRowShown="0" headerRowDxfId="260">
  <autoFilter ref="B26:H73" xr:uid="{C023E9AF-2873-48A9-9B76-629859D4DFE7}">
    <filterColumn colId="1">
      <filters>
        <filter val="Asset"/>
      </filters>
    </filterColumn>
  </autoFilter>
  <sortState xmlns:xlrd2="http://schemas.microsoft.com/office/spreadsheetml/2017/richdata2" ref="B24:H62">
    <sortCondition ref="E26:E62"/>
  </sortState>
  <tableColumns count="7">
    <tableColumn id="1" xr3:uid="{5C758602-2938-4D6D-B002-0D497FBE39F0}" name="Company Register"/>
    <tableColumn id="2" xr3:uid="{2B632202-B1AE-407C-9018-0BA05F5640F3}" name="Type"/>
    <tableColumn id="3" xr3:uid="{96FCF3EF-D63C-438D-B706-E681C3C94CC3}" name="Folder">
      <calculatedColumnFormula>VLOOKUP(C27,'Document Type'!$B$6:$C$34,2,FALSE)</calculatedColumnFormula>
    </tableColumn>
    <tableColumn id="4" xr3:uid="{5E4C4E7C-CF6B-41BB-A77D-5FF47E117556}" name="Date"/>
    <tableColumn id="5" xr3:uid="{027D841A-316E-4D87-A527-9AA92D595D4E}" name="Manual"/>
    <tableColumn id="6" xr3:uid="{51510C01-AAF4-4B84-A512-9498FC567B9C}" name="Electronicaly Stored"/>
    <tableColumn id="7" xr3:uid="{08DA3953-8503-46AA-99B4-C733542E55F2}" name="By Whom"/>
  </tableColumns>
  <tableStyleInfo name="TableStyleMedium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C7AE71A-CEFF-4568-8772-9459B4F4AC8D}" name="Table161128" displayName="Table161128" ref="B75:Q101" totalsRowShown="0" headerRowDxfId="259" dataDxfId="258">
  <autoFilter ref="B75:Q101" xr:uid="{BC7AE71A-CEFF-4568-8772-9459B4F4AC8D}"/>
  <tableColumns count="16">
    <tableColumn id="1" xr3:uid="{8520FD8D-07F0-43A0-AB7A-B20E819D332F}" name="Date" dataDxfId="257"/>
    <tableColumn id="13" xr3:uid="{2FB949B9-687B-4640-AE40-6F23B3434331}" name="Issue, transfer,share split, buy back or Cancelation" dataDxfId="256"/>
    <tableColumn id="2" xr3:uid="{01C46670-56E1-4B27-B00F-0AA742FFF81B}" name="Class of Share" dataDxfId="255"/>
    <tableColumn id="3" xr3:uid="{BA5CEF75-E11C-44E1-BDB6-19108A824B8C}" name="Certification Number" dataDxfId="254"/>
    <tableColumn id="4" xr3:uid="{BD697FA6-5AAA-4898-B143-73DC941AF05E}" name="Serial Number From" dataDxfId="253"/>
    <tableColumn id="5" xr3:uid="{D5FC2184-39B9-4801-B0E9-D6F169472122}" name="Serial Number To" dataDxfId="252"/>
    <tableColumn id="6" xr3:uid="{573F8781-0490-409B-9918-1DEA8EC1E5A7}" name="Number of Shares Aquired" dataDxfId="251"/>
    <tableColumn id="7" xr3:uid="{12750C73-C895-4727-9462-44F5F2CDEB09}" name="Trf'd to / Trf'd from" dataDxfId="250"/>
    <tableColumn id="8" xr3:uid="{F4E742B0-E25A-4886-BF72-4AA01E98AA34}" name="Amount Paid Per Share" dataDxfId="249" dataCellStyle="Currency"/>
    <tableColumn id="9" xr3:uid="{A1093CE1-389E-4BD8-8AAD-FE8155FAFC0C}" name="Amount Unpaid per Share" dataDxfId="248"/>
    <tableColumn id="14" xr3:uid="{05F2BB39-1861-40B0-9A96-5375461939FE}" name="Fully Paid? (Y/N)" dataDxfId="247"/>
    <tableColumn id="10" xr3:uid="{48D9559A-4A18-424C-ABFA-2F8ED36396A7}" name="Total Number os Shares Held" dataDxfId="246"/>
    <tableColumn id="11" xr3:uid="{2567DD7F-4A62-41A6-BFC2-B4C7DADB9773}" name="Total Amount paid fo the shares" dataDxfId="245" dataCellStyle="Currency"/>
    <tableColumn id="12" xr3:uid="{78E64E4A-B176-4A6A-9AD8-3364D0383D98}" name="Are the Shares Benedicially Held" dataDxfId="244"/>
    <tableColumn id="15" xr3:uid="{3FD76F73-E578-4758-A232-C081C47AD2B5}" name="Owner / Buyer / Seller" dataDxfId="243"/>
    <tableColumn id="17" xr3:uid="{82CC84C4-EB05-40C6-8F41-EF0DBF3091A2}" name="ASIC Document Number" dataDxfId="242"/>
  </tableColumns>
  <tableStyleInfo name="TableStyleMedium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A9E80B5-0180-4E4A-ADA2-4A1AD2F895DE}" name="Table271229" displayName="Table271229" ref="B104:G110" totalsRowShown="0">
  <autoFilter ref="B104:G110" xr:uid="{FA9E80B5-0180-4E4A-ADA2-4A1AD2F895DE}"/>
  <tableColumns count="6">
    <tableColumn id="1" xr3:uid="{98E95D81-E1AF-45E3-AC96-128284D80B5F}" name="From"/>
    <tableColumn id="2" xr3:uid="{FD4048D0-F6C3-4D0B-A256-ABCB5507DAD8}" name="To"/>
    <tableColumn id="3" xr3:uid="{70046BD2-A408-46D3-8FF2-D48F8BB4156D}" name="Amount"/>
    <tableColumn id="4" xr3:uid="{FAE54E79-42BA-4735-BF07-4051F1E59097}" name="Date"/>
    <tableColumn id="5" xr3:uid="{F52A6B58-B5ED-449E-887D-B2ADBA753D34}" name="Security"/>
    <tableColumn id="6" xr3:uid="{977C80EF-E8BC-4067-972E-61AF707C7FD1}" name="PPSR"/>
  </tableColumns>
  <tableStyleInfo name="TableStyleMedium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EBA906AB-47BD-49A2-83F5-EF0BD9AF9C1A}" name="Table791330" displayName="Table791330" ref="B113:G131" totalsRowShown="0">
  <autoFilter ref="B113:G131" xr:uid="{EBA906AB-47BD-49A2-83F5-EF0BD9AF9C1A}"/>
  <tableColumns count="6">
    <tableColumn id="1" xr3:uid="{73286FA6-E51D-4CA5-9F32-03AA3EBA2C38}" name="Item"/>
    <tableColumn id="2" xr3:uid="{9E702265-CD29-4420-8CF0-D8A1C080BBD6}" name="Purchase Date"/>
    <tableColumn id="3" xr3:uid="{2E30CB3F-8D16-4BF6-B32B-3FA6BB09685C}" name="Purchase Price"/>
    <tableColumn id="4" xr3:uid="{C945450E-B4CE-492F-99A1-30C8A98B8FC3}" name="Sale Date"/>
    <tableColumn id="5" xr3:uid="{C294ECF1-2BC7-47C6-887F-03FF785751EE}" name="Sale Price"/>
    <tableColumn id="6" xr3:uid="{EBEF71AE-64E1-4069-95FD-6048C8957298}" name="Profit" dataDxfId="241">
      <calculatedColumnFormula>Table791330[[#This Row],[Purchase Price]]-Table791330[[#This Row],[Sale Price]]</calculatedColumnFormula>
    </tableColumn>
  </tableColumns>
  <tableStyleInfo name="TableStyleMedium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7092338-A8EA-413C-8B92-37B9A8A42840}" name="Table22" displayName="Table22" ref="A26:G60" totalsRowShown="0" headerRowDxfId="240">
  <autoFilter ref="A26:G60" xr:uid="{C023E9AF-2873-48A9-9B76-629859D4DFE7}"/>
  <tableColumns count="7">
    <tableColumn id="1" xr3:uid="{27678482-BDC3-45D9-BB1C-EF9CCAE0CFF5}" name="Company Register"/>
    <tableColumn id="2" xr3:uid="{045CFA10-83EC-41C1-80B0-EFC6B0846533}" name="Type"/>
    <tableColumn id="3" xr3:uid="{5E6E4676-AC5B-4573-8AA0-1D5CA25AFC6D}" name="Folder">
      <calculatedColumnFormula>VLOOKUP(B27,'Document Type'!$B$6:$C$34,2,FALSE)</calculatedColumnFormula>
    </tableColumn>
    <tableColumn id="4" xr3:uid="{70B6C315-70AE-40CF-A475-189FB2A5634A}" name="Date"/>
    <tableColumn id="5" xr3:uid="{9F2F0724-6906-4A1B-90EB-684C8C023BF9}" name="Manual"/>
    <tableColumn id="6" xr3:uid="{8DC6A0F9-D925-4044-A76F-D08138EDFA75}" name="Electronicaly Stored"/>
    <tableColumn id="7" xr3:uid="{A3EDDBA8-A6A6-4F47-B6CB-D62DABC7C20A}" name="By Whom"/>
  </tableColumns>
  <tableStyleInfo name="TableStyleMedium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DE2997A-B723-481B-896D-FE9DCB428AF4}" name="Table161124" displayName="Table161124" ref="A63:P89" totalsRowShown="0" headerRowDxfId="239" dataDxfId="238">
  <autoFilter ref="A63:P89" xr:uid="{BDE2997A-B723-481B-896D-FE9DCB428AF4}"/>
  <tableColumns count="16">
    <tableColumn id="1" xr3:uid="{B70743ED-46B9-4405-BA0D-7B99DB529C99}" name="Date" dataDxfId="237"/>
    <tableColumn id="13" xr3:uid="{6FDF569C-D2D4-47A3-A3E6-0F96B0E67F47}" name="Issue, transfer,share split, buy back or Cancelation" dataDxfId="236"/>
    <tableColumn id="2" xr3:uid="{A028708B-6960-4525-A477-01AFC30A7FDD}" name="Class of Share" dataDxfId="235"/>
    <tableColumn id="3" xr3:uid="{685DDBAB-4469-4111-8F07-D9882EFC37D1}" name="Certification Number" dataDxfId="234"/>
    <tableColumn id="4" xr3:uid="{02B85848-8FA9-4712-AC54-792402F2751E}" name="Serial Number From" dataDxfId="233"/>
    <tableColumn id="5" xr3:uid="{391BEF20-7481-4420-9EDE-E6D0C855BF3E}" name="Serial Number To" dataDxfId="232"/>
    <tableColumn id="6" xr3:uid="{E877FC47-CAC4-432B-832F-296C29CF7392}" name="Number of Shares Aquired" dataDxfId="231"/>
    <tableColumn id="7" xr3:uid="{0BE9D0C0-699B-4F81-B2AA-DCA355410715}" name="Trf'd to / Trf'd from" dataDxfId="230"/>
    <tableColumn id="8" xr3:uid="{02E3F24E-2C85-48A7-A798-82B307B0005C}" name="Amount Paid Per Share" dataDxfId="229" dataCellStyle="Currency"/>
    <tableColumn id="9" xr3:uid="{AE2F2EE3-F12A-42D9-8EEB-ECFCAC2CB345}" name="Amount Unpaid per Share" dataDxfId="228"/>
    <tableColumn id="14" xr3:uid="{69458207-3B52-4E16-9AE7-A39A9C5C63C8}" name="Fully Paid? (Y/N)" dataDxfId="227"/>
    <tableColumn id="10" xr3:uid="{3A46DB0A-FC8A-4095-AA6B-20508BB2A0FC}" name="Total Number os Shares Held" dataDxfId="226"/>
    <tableColumn id="11" xr3:uid="{8CDC34BB-55D2-43BC-8D01-C34B8512B66E}" name="Total Amount paid fo the shares" dataDxfId="225" dataCellStyle="Currency"/>
    <tableColumn id="12" xr3:uid="{030528E8-00E1-4914-89BF-581FD0130DEC}" name="Are the Shares Benedicially Held" dataDxfId="224"/>
    <tableColumn id="15" xr3:uid="{4FB61CDF-0A6D-4E85-81E0-A22431526824}" name="Owner / Buyer / Seller" dataDxfId="223"/>
    <tableColumn id="17" xr3:uid="{AFFA0EF3-2F25-4733-B7BE-8C1863887D32}" name="ASIC Document Number" dataDxfId="222"/>
  </tableColumns>
  <tableStyleInfo name="TableStyleMedium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4C6F4CF-9ED7-408B-8159-1C66814F0B4A}" name="Table271225" displayName="Table271225" ref="A92:F98" totalsRowShown="0">
  <autoFilter ref="A92:F98" xr:uid="{94C6F4CF-9ED7-408B-8159-1C66814F0B4A}"/>
  <tableColumns count="6">
    <tableColumn id="1" xr3:uid="{F66D17EA-DDAC-47EA-A538-0F5B3E43A641}" name="From"/>
    <tableColumn id="2" xr3:uid="{E865294F-BCA1-46FE-99AB-B2592C7C9FDA}" name="To"/>
    <tableColumn id="3" xr3:uid="{0A7BDCE1-794A-4CAC-A279-94C54A23B701}" name="Amount"/>
    <tableColumn id="4" xr3:uid="{28A9634F-86DA-4300-BD1F-93E74B202B88}" name="Date"/>
    <tableColumn id="5" xr3:uid="{3CD1454A-4222-4A10-9775-90AAF7F470EB}" name="Security"/>
    <tableColumn id="6" xr3:uid="{D24365E7-913A-4586-BC8F-240FE51E8315}" name="PPSR"/>
  </tableColumns>
  <tableStyleInfo name="TableStyleMedium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A9E728-6615-4831-99BE-4531845B3175}" name="Table791326" displayName="Table791326" ref="A101:F119" totalsRowShown="0">
  <autoFilter ref="A101:F119" xr:uid="{C6A9E728-6615-4831-99BE-4531845B3175}"/>
  <tableColumns count="6">
    <tableColumn id="1" xr3:uid="{4273A721-A2FB-4B50-B912-0C06EE4D62C0}" name="Item"/>
    <tableColumn id="2" xr3:uid="{1B75287E-9875-4AE6-AFDE-873EF9302CD2}" name="Purchase Date"/>
    <tableColumn id="3" xr3:uid="{440B2CB5-777B-440B-9562-AB798983B7F9}" name="Purchase Price"/>
    <tableColumn id="4" xr3:uid="{BD6DD48C-2190-4055-9F14-8BEE2817B047}" name="Sale Date"/>
    <tableColumn id="5" xr3:uid="{1DDC3483-952D-42DC-AA74-3067F7E6E442}" name="Sale Price"/>
    <tableColumn id="6" xr3:uid="{1474EF6B-2027-4950-90B7-66AE1A20F2FE}" name="Profit" dataDxfId="221">
      <calculatedColumnFormula>Table791326[[#This Row],[Purchase Price]]-Table791326[[#This Row],[Sale Price]]</calculatedColumnFormula>
    </tableColumn>
  </tableColumns>
  <tableStyleInfo name="TableStyleMedium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8BADAEE-81C2-4809-A5BC-4A17BFBBB89F}" name="Table18" displayName="Table18" ref="A26:G61" totalsRowShown="0" headerRowDxfId="220">
  <autoFilter ref="A26:G61" xr:uid="{C023E9AF-2873-48A9-9B76-629859D4DFE7}"/>
  <sortState xmlns:xlrd2="http://schemas.microsoft.com/office/spreadsheetml/2017/richdata2" ref="A27:G61">
    <sortCondition ref="A26:A61"/>
  </sortState>
  <tableColumns count="7">
    <tableColumn id="1" xr3:uid="{D4DE3107-DA5C-41A1-A616-58489FBD3ABC}" name="Company Register"/>
    <tableColumn id="2" xr3:uid="{A224BCA5-0B22-481B-A40C-9CE046BB8DB7}" name="Type"/>
    <tableColumn id="3" xr3:uid="{380B29B3-D640-41D1-8470-112ACD3BE3E6}" name="Folder">
      <calculatedColumnFormula>VLOOKUP(B27,'Document Type'!$B$6:$C$34,2,FALSE)</calculatedColumnFormula>
    </tableColumn>
    <tableColumn id="4" xr3:uid="{CF5C5772-2A43-4F14-A89F-15472018F4C8}" name="Date"/>
    <tableColumn id="5" xr3:uid="{8707CA41-3270-4C57-AE76-2A6DDDD3C3D2}" name="Manual"/>
    <tableColumn id="6" xr3:uid="{8809919B-9614-4806-9F85-50077450367B}" name="Electronicaly Stored"/>
    <tableColumn id="7" xr3:uid="{B48F246D-9F0A-4754-81F2-76BF2EF2AE27}" name="By Whom"/>
  </tableColumns>
  <tableStyleInfo name="TableStyleMedium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FB9959E-C311-47B9-9265-1C779908C112}" name="Table161120" displayName="Table161120" ref="A65:P69" totalsRowShown="0" headerRowDxfId="219" dataDxfId="218">
  <autoFilter ref="A65:P69" xr:uid="{7FB9959E-C311-47B9-9265-1C779908C112}"/>
  <tableColumns count="16">
    <tableColumn id="1" xr3:uid="{3D86375A-1058-446D-B540-6F397F73BA66}" name="Date" dataDxfId="217"/>
    <tableColumn id="13" xr3:uid="{274416C5-C36E-464F-B85A-BC9651BAA7FB}" name="Issue, transfer,share split, buy back or Cancelation" dataDxfId="216"/>
    <tableColumn id="2" xr3:uid="{4CA92024-B578-41B6-9577-84EDF0252A05}" name="Class of Share" dataDxfId="215"/>
    <tableColumn id="3" xr3:uid="{66C4FD75-ACF9-4C63-9D58-25EE3BA192B0}" name="Certification Number" dataDxfId="214"/>
    <tableColumn id="4" xr3:uid="{3F48C19F-B5A7-475C-AD5F-24CE3429AB21}" name="Serial Number From" dataDxfId="213"/>
    <tableColumn id="5" xr3:uid="{18B36DEB-6416-4DEF-80C2-AEFB70B48F52}" name="Serial Number To" dataDxfId="212"/>
    <tableColumn id="6" xr3:uid="{8999055C-5719-4962-8278-C0BBEA806BC1}" name="Number of Shares Aquired" dataDxfId="211"/>
    <tableColumn id="7" xr3:uid="{38E37E82-FFD7-434A-BC72-FAD147138B96}" name="Trf'd to / Trf'd from" dataDxfId="210"/>
    <tableColumn id="8" xr3:uid="{B12D6492-7FA3-478D-92A8-B2C90AC79259}" name="Amount Paid Per Share" dataDxfId="209" dataCellStyle="Currency"/>
    <tableColumn id="9" xr3:uid="{AEA7A0B0-D6C2-4A6D-81D5-191952E5AFDC}" name="Amount Unpaid per Share" dataDxfId="208"/>
    <tableColumn id="14" xr3:uid="{1E4ED88B-F28B-47C1-B791-D0FA8C41E3D2}" name="Fully Paid? (Y/N)" dataDxfId="207"/>
    <tableColumn id="10" xr3:uid="{2D231459-9561-409E-95B6-C90294EBB5EB}" name="Total Number os Shares Held" dataDxfId="206"/>
    <tableColumn id="11" xr3:uid="{BE1D3D32-771A-4829-9944-74FDB78835B8}" name="Total Amount paid fo the shares" dataDxfId="205" dataCellStyle="Currency"/>
    <tableColumn id="12" xr3:uid="{B7961DA4-DC59-4761-9866-A1798118E4F4}" name="Are the Shares Benedicially Held" dataDxfId="204"/>
    <tableColumn id="15" xr3:uid="{5097BCEE-9D22-4CFF-B67F-240DCEAD27AD}" name="Owner / Buyer / Seller" dataDxfId="203"/>
    <tableColumn id="17" xr3:uid="{7216023A-BAC0-4EC0-BF0F-65126EFC521D}" name="ASIC Document Number" dataDxfId="202"/>
  </tableColumns>
  <tableStyleInfo name="TableStyleMedium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9A8195F-DF34-4578-BC72-24C289F897A5}" name="Table271221" displayName="Table271221" ref="A72:F78" totalsRowShown="0">
  <autoFilter ref="A72:F78" xr:uid="{89A8195F-DF34-4578-BC72-24C289F897A5}"/>
  <sortState xmlns:xlrd2="http://schemas.microsoft.com/office/spreadsheetml/2017/richdata2" ref="A73:F78">
    <sortCondition ref="D72:D78"/>
  </sortState>
  <tableColumns count="6">
    <tableColumn id="1" xr3:uid="{78155622-00BD-44BC-ADE7-5D28E35D16DA}" name="From"/>
    <tableColumn id="2" xr3:uid="{4E59E1A9-EDCC-4A37-8A2E-EEE18FEDE834}" name="To"/>
    <tableColumn id="3" xr3:uid="{E3FAB706-217F-4CC5-B72C-F1FA524316B3}" name="Amount"/>
    <tableColumn id="4" xr3:uid="{58CB2982-1BEF-40D5-A739-B73C5B0E0DA3}" name="Date"/>
    <tableColumn id="5" xr3:uid="{BBA19277-96C3-4270-B9E0-205A0C20DF02}" name="Security"/>
    <tableColumn id="6" xr3:uid="{55906B7D-A00C-4591-82F9-F14ED92A6367}" name="PPSR"/>
  </tableColumns>
  <tableStyleInfo name="TableStyleMedium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8A93786-3A21-4280-8078-387068E9CF14}" name="Table791322" displayName="Table791322" ref="A81:F99" totalsRowShown="0">
  <autoFilter ref="A81:F99" xr:uid="{48A93786-3A21-4280-8078-387068E9CF14}"/>
  <tableColumns count="6">
    <tableColumn id="1" xr3:uid="{C53F9203-8D73-42DD-A99F-D2441B79D2DB}" name="Item"/>
    <tableColumn id="2" xr3:uid="{609218EC-EAAD-4B0A-8D16-DE5408776C7B}" name="Purchase Date"/>
    <tableColumn id="3" xr3:uid="{BEB8406C-C410-4639-8290-1E97E45CEA61}" name="Purchase Price"/>
    <tableColumn id="4" xr3:uid="{E317F9A6-CD35-4767-800F-1C14D9B44987}" name="Sale Date"/>
    <tableColumn id="5" xr3:uid="{6128BB5E-9262-43A0-BAEB-048958C14F55}" name="Sale Price"/>
    <tableColumn id="6" xr3:uid="{5A06A800-EF21-40AA-A9FF-DDCA7D44311E}" name="Profit" dataDxfId="201">
      <calculatedColumnFormula>Table791322[[#This Row],[Purchase Price]]-Table791322[[#This Row],[Sale Price]]</calculatedColumnFormula>
    </tableColumn>
  </tableColumns>
  <tableStyleInfo name="TableStyleMedium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58D8BDD-9C48-46F3-A1CE-339A78AEF016}" name="Table14" displayName="Table14" ref="A26:G61" totalsRowShown="0" headerRowDxfId="200">
  <autoFilter ref="A26:G61" xr:uid="{C023E9AF-2873-48A9-9B76-629859D4DFE7}"/>
  <tableColumns count="7">
    <tableColumn id="1" xr3:uid="{BBDD6241-58C2-4EE5-AEFE-2CF6BA6E3A49}" name="Company Register"/>
    <tableColumn id="2" xr3:uid="{57FF4B7F-C60C-4B15-BE4D-3EF4656B126E}" name="Type"/>
    <tableColumn id="3" xr3:uid="{CBE59595-F0E3-4AF0-9490-C358A9D04F29}" name="Folder">
      <calculatedColumnFormula>VLOOKUP(B27,'Document Type'!$B$6:$C$34,2,FALSE)</calculatedColumnFormula>
    </tableColumn>
    <tableColumn id="4" xr3:uid="{8CDB09BD-B165-4CCC-8B79-809F2762D2A8}" name="Date"/>
    <tableColumn id="5" xr3:uid="{46FC57F6-98F3-4E78-8D48-20DD1EEF54FE}" name="Manual" dataDxfId="199"/>
    <tableColumn id="6" xr3:uid="{E39C7266-25FE-42F6-8938-B258C5AEB6A2}" name="Electronicaly Stored"/>
    <tableColumn id="7" xr3:uid="{805FE38F-AAB9-4F1B-B15E-DF6B93F49765}" name="By Whom"/>
  </tableColumns>
  <tableStyleInfo name="TableStyleMedium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1488BA5-CB6D-4873-A3BA-50D0D8D26B3B}" name="Table161116" displayName="Table161116" ref="A65:P91" totalsRowShown="0" headerRowDxfId="198" dataDxfId="197">
  <autoFilter ref="A65:P91" xr:uid="{51488BA5-CB6D-4873-A3BA-50D0D8D26B3B}"/>
  <tableColumns count="16">
    <tableColumn id="1" xr3:uid="{759929C7-E7A4-4D21-9C45-997238A9C10A}" name="Date" dataDxfId="196"/>
    <tableColumn id="13" xr3:uid="{C11ED4C6-44E6-40E4-B84F-C53A6B24737A}" name="Issue, transfer,share split, buy back or Cancelation" dataDxfId="195"/>
    <tableColumn id="2" xr3:uid="{6A42BB07-C281-42EC-96A0-09BA348F3100}" name="Class of Share" dataDxfId="194"/>
    <tableColumn id="3" xr3:uid="{39147119-D689-4D40-89F9-6E4100F15739}" name="Certification Number" dataDxfId="193"/>
    <tableColumn id="4" xr3:uid="{B8AD8B7A-22DA-439A-BF48-0F52F50428D7}" name="Serial Number From" dataDxfId="192"/>
    <tableColumn id="5" xr3:uid="{5BB3E91E-A423-4FBF-B6B9-FF1230574AD8}" name="Serial Number To" dataDxfId="191"/>
    <tableColumn id="6" xr3:uid="{30AAFD6D-BC09-4D7E-955C-A13A509D8337}" name="Number of Shares Aquired" dataDxfId="190"/>
    <tableColumn id="7" xr3:uid="{DEF20030-4126-46EC-B3FF-AB3E6FF21A3D}" name="Trf'd to / Trf'd from" dataDxfId="189"/>
    <tableColumn id="8" xr3:uid="{1EF564C4-CC54-4C54-8727-1AC2B5E84662}" name="Amount Paid Per Share" dataDxfId="188" dataCellStyle="Currency"/>
    <tableColumn id="9" xr3:uid="{9CA754E8-7033-43CD-B9E6-6032FCAD7A2F}" name="Amount Unpaid per Share" dataDxfId="187"/>
    <tableColumn id="14" xr3:uid="{5BC900B5-9556-4C28-8204-51F66931FD58}" name="Fully Paid? (Y/N)" dataDxfId="186"/>
    <tableColumn id="10" xr3:uid="{BC40C60A-7575-4B36-8F3F-81C031F55EDB}" name="Total Number os Shares Held" dataDxfId="185"/>
    <tableColumn id="11" xr3:uid="{DD02494E-D5AB-46D7-8C0E-52E794B359AC}" name="Total Amount paid fo the shares" dataDxfId="184" dataCellStyle="Currency"/>
    <tableColumn id="12" xr3:uid="{86AF8881-777D-48DA-A0CA-82339C7316E0}" name="Are the Shares Benedicially Held" dataDxfId="183"/>
    <tableColumn id="15" xr3:uid="{7545EF6A-FF75-451C-BD34-0F41C9EC3624}" name="Owner / Buyer / Seller" dataDxfId="182"/>
    <tableColumn id="17" xr3:uid="{CB23D78A-1CC4-457B-81A7-14C5ABBB30E3}" name="ASIC Document Number" dataDxfId="181"/>
  </tableColumns>
  <tableStyleInfo name="TableStyleMedium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CBC8D33-E84E-4176-B8E3-9C6F09E6CD93}" name="Table271217" displayName="Table271217" ref="A94:F100" totalsRowShown="0">
  <autoFilter ref="A94:F100" xr:uid="{3CBC8D33-E84E-4176-B8E3-9C6F09E6CD93}"/>
  <tableColumns count="6">
    <tableColumn id="1" xr3:uid="{98164AE9-1B31-4051-9383-E1184D70AF98}" name="From"/>
    <tableColumn id="2" xr3:uid="{B11AD50B-C9C7-4B0D-8D43-7CF6CC93CEDA}" name="To"/>
    <tableColumn id="3" xr3:uid="{5C5E3055-A067-4D69-AAA4-C318C2F94C48}" name="Amount"/>
    <tableColumn id="4" xr3:uid="{C163048B-AE64-4434-B4ED-FDCE69B9FD32}" name="Date"/>
    <tableColumn id="5" xr3:uid="{216BFC76-5EE1-40FB-8582-4DF55716BDAB}" name="Security"/>
    <tableColumn id="6" xr3:uid="{75D9701D-D7E1-438B-98DE-8779C0FED01E}" name="PPSR"/>
  </tableColumns>
  <tableStyleInfo name="TableStyleMedium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D53B7E7-D4D8-497B-9EBD-ADFA273E39BA}" name="Table791318" displayName="Table791318" ref="A103:F121" totalsRowShown="0">
  <autoFilter ref="A103:F121" xr:uid="{4D53B7E7-D4D8-497B-9EBD-ADFA273E39BA}"/>
  <tableColumns count="6">
    <tableColumn id="1" xr3:uid="{44E07CD3-87B9-4E34-90E0-C517ADE4F0A6}" name="Item"/>
    <tableColumn id="2" xr3:uid="{E99FC9A9-D4A2-4F55-AD39-96D12642E773}" name="Purchase Date"/>
    <tableColumn id="3" xr3:uid="{38443D4B-17EB-46C6-8C71-C5DEB9FF91A8}" name="Purchase Price"/>
    <tableColumn id="4" xr3:uid="{920B8D26-0B43-4C4E-B492-5F8F6F88CD54}" name="Sale Date"/>
    <tableColumn id="5" xr3:uid="{F02F2B48-6FF0-4AAE-B42C-3B2BF9A97B0C}" name="Sale Price"/>
    <tableColumn id="6" xr3:uid="{698E3682-1C06-4B19-B575-FB89FDBA93F0}" name="Profit" dataDxfId="180">
      <calculatedColumnFormula>Table791318[[#This Row],[Purchase Price]]-Table791318[[#This Row],[Sale Price]]</calculatedColumnFormula>
    </tableColumn>
  </tableColumns>
  <tableStyleInfo name="TableStyleMedium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697DB3-E029-48BD-90DE-AA8F0EA3365D}" name="Table4" displayName="Table4" ref="A26:G61" totalsRowShown="0" headerRowDxfId="179">
  <autoFilter ref="A26:G61" xr:uid="{57697DB3-E029-48BD-90DE-AA8F0EA3365D}"/>
  <tableColumns count="7">
    <tableColumn id="1" xr3:uid="{AEDF7BFF-138B-4972-846D-D37F51B5409D}" name="Company Register"/>
    <tableColumn id="2" xr3:uid="{8E5E3378-54D5-4CA8-B49C-BCF6559B6D81}" name="Type"/>
    <tableColumn id="3" xr3:uid="{F81C5DCB-FA10-4173-9FA3-777DC985D348}" name="Folder">
      <calculatedColumnFormula>VLOOKUP(B27,'Document Type'!$B$6:$C$34,2,FALSE)</calculatedColumnFormula>
    </tableColumn>
    <tableColumn id="4" xr3:uid="{A6E471B0-F078-403E-8B27-7D44D75C6EDA}" name="Date"/>
    <tableColumn id="5" xr3:uid="{BB8DF424-B793-4356-AA07-350154ACDDA9}" name="Manual"/>
    <tableColumn id="6" xr3:uid="{A0B15542-3A92-4F51-9B97-158404CABBF8}" name="Electronicaly Stored"/>
    <tableColumn id="7" xr3:uid="{FB125EDC-E334-4272-AB59-0E84E6366797}" name="By Whom"/>
  </tableColumns>
  <tableStyleInfo name="TableStyleMedium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96E3CA-7228-475F-A40C-A803C05E4E6D}" name="Table16" displayName="Table16" ref="A64:P90" totalsRowShown="0" headerRowDxfId="178" dataDxfId="177">
  <autoFilter ref="A64:P90" xr:uid="{8396E3CA-7228-475F-A40C-A803C05E4E6D}"/>
  <tableColumns count="16">
    <tableColumn id="1" xr3:uid="{DC7219D1-3A17-4414-BC83-B9BD6D66401E}" name="Date" dataDxfId="176"/>
    <tableColumn id="13" xr3:uid="{67E43D3E-281A-4F9D-9E56-A30F088368E9}" name="Issue, transfer,share split, buy back or Cancelation" dataDxfId="175"/>
    <tableColumn id="2" xr3:uid="{E20205F8-7483-4BE9-A3EF-CB7149593EAC}" name="Class of Share" dataDxfId="174"/>
    <tableColumn id="3" xr3:uid="{56B0C9E4-84C9-4E77-8BC8-72B66BE75742}" name="Certification Number" dataDxfId="173"/>
    <tableColumn id="4" xr3:uid="{19C03441-943F-4E30-83A4-9B615D42FAA1}" name="Serial Number From" dataDxfId="172"/>
    <tableColumn id="5" xr3:uid="{66D38A0A-1795-43C1-AC30-493637C0FFD6}" name="Serial Number To" dataDxfId="171"/>
    <tableColumn id="6" xr3:uid="{86222096-635C-4A3E-9792-DF373624FA80}" name="Number of Shares Aquired" dataDxfId="170"/>
    <tableColumn id="7" xr3:uid="{6D94E2D4-A3E9-4C3B-AC29-C7FD00282854}" name="Trf'd to / Trf'd from" dataDxfId="169"/>
    <tableColumn id="8" xr3:uid="{683355CC-568A-4254-9892-523EC4177B3A}" name="Amount Paid Per Share" dataDxfId="168" dataCellStyle="Currency"/>
    <tableColumn id="9" xr3:uid="{D9FD916A-30E6-4599-AABB-DCAA30C7A48B}" name="Amount Unpaid per Share" dataDxfId="167"/>
    <tableColumn id="14" xr3:uid="{CC1CD1DB-1DAB-4F02-9ADC-9DE75F8593FF}" name="Fully Paid? (Y/N)" dataDxfId="166"/>
    <tableColumn id="10" xr3:uid="{02E794BC-4B48-44BA-8F75-7EBDD1BB0EB5}" name="Total Number os Shares Held" dataDxfId="165"/>
    <tableColumn id="11" xr3:uid="{6888ED5E-50B2-464C-BEF3-0F36F870DEC6}" name="Total Amount paid fo the shares" dataDxfId="164" dataCellStyle="Currency"/>
    <tableColumn id="12" xr3:uid="{E4BB7826-DD60-44DB-B36C-67A047216482}" name="Are the Shares Benedicially Held" dataDxfId="163"/>
    <tableColumn id="15" xr3:uid="{873ACF46-9A2F-492B-AEA6-37C207DA6CB2}" name="Owner / Buyer / Seller" dataDxfId="162"/>
    <tableColumn id="17" xr3:uid="{0C471743-CECD-4FDB-9136-A855FEC908EE}" name="ASIC Document Number" dataDxfId="161"/>
  </tableColumns>
  <tableStyleInfo name="TableStyleMedium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D633A0-9D56-409B-9317-4E09F0905AEB}" name="Table27" displayName="Table27" ref="A93:F99" totalsRowShown="0">
  <autoFilter ref="A93:F99" xr:uid="{9DD633A0-9D56-409B-9317-4E09F0905AEB}"/>
  <tableColumns count="6">
    <tableColumn id="1" xr3:uid="{C6FE468A-2972-44AC-8C75-0F6B4E0C78FE}" name="From"/>
    <tableColumn id="2" xr3:uid="{7BBF1899-D66F-4B62-9270-52AC19DA0F75}" name="To"/>
    <tableColumn id="3" xr3:uid="{DBA22701-C619-4394-8384-FA0204685013}" name="Amount"/>
    <tableColumn id="4" xr3:uid="{26D34B04-FCCE-475E-8E6E-143152D828C8}" name="Date"/>
    <tableColumn id="5" xr3:uid="{474E03E3-3316-4C78-873A-137E6BF35858}" name="Security"/>
    <tableColumn id="6" xr3:uid="{86381D37-76FB-4DE8-A6EC-E6F596BD8C9A}" name="PPSR"/>
  </tableColumns>
  <tableStyleInfo name="TableStyleMedium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DF1247D-67FB-44AE-B07C-56F0F4620A7B}" name="Table714" displayName="Table714" ref="A102:F120" totalsRowShown="0">
  <autoFilter ref="A102:F120" xr:uid="{BDF1247D-67FB-44AE-B07C-56F0F4620A7B}"/>
  <tableColumns count="6">
    <tableColumn id="1" xr3:uid="{7F7DEBAD-15A3-4DE9-B46A-D496B0434F6A}" name="Item"/>
    <tableColumn id="2" xr3:uid="{E4DC11F3-51EC-4C82-8E48-D4DF0DD4D750}" name="Purchase Date"/>
    <tableColumn id="3" xr3:uid="{45F60B06-DD41-45E5-8771-820E77616FCB}" name="Purchase Price"/>
    <tableColumn id="4" xr3:uid="{BF03AD3C-CAD7-4C17-90C4-95EDBEEF3D45}" name="Sale Date"/>
    <tableColumn id="5" xr3:uid="{911B10D7-B843-4D69-9B33-5FCFC4BC809C}" name="Sale Price"/>
    <tableColumn id="6" xr3:uid="{7B153390-4C92-46D1-B741-5378009529C4}" name="Profit"/>
  </tableColumns>
  <tableStyleInfo name="TableStyleMedium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15C1C2B-B9BC-4DCA-975B-4F35EA2AC4ED}" name="Table8" displayName="Table8" ref="A27:G63" totalsRowShown="0" headerRowDxfId="160">
  <autoFilter ref="A27:G63" xr:uid="{C023E9AF-2873-48A9-9B76-629859D4DFE7}"/>
  <tableColumns count="7">
    <tableColumn id="1" xr3:uid="{D6AE938A-991A-4569-B0F7-03D0C84C33D0}" name="Company Register"/>
    <tableColumn id="2" xr3:uid="{EE678035-6299-4107-A28C-CE1CF24DEEC9}" name="Type"/>
    <tableColumn id="3" xr3:uid="{34F4E0A1-3D80-4B04-885B-E5276270FA81}" name="Folder">
      <calculatedColumnFormula>VLOOKUP(B28,'Document Type'!$B$6:$C$34,2,FALSE)</calculatedColumnFormula>
    </tableColumn>
    <tableColumn id="4" xr3:uid="{2BE9C237-5748-4ABF-B010-6226B505018D}" name="Date"/>
    <tableColumn id="5" xr3:uid="{0E1D2A24-C4B2-42EB-92B1-8343DD773958}" name="Manual"/>
    <tableColumn id="6" xr3:uid="{7A88FA80-6335-47CF-9748-FB5A6A6A0B57}" name="Electronicaly Stored"/>
    <tableColumn id="7" xr3:uid="{291C578F-A0F7-4DAD-B8E1-069F0D8E5E8F}" name="By Whom"/>
  </tableColumns>
  <tableStyleInfo name="TableStyleMedium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C0FFD91-671E-4D3C-8DCC-2FA9F3BCDC04}" name="Table161131" displayName="Table161131" ref="A66:P70" totalsRowShown="0" headerRowDxfId="159" dataDxfId="158">
  <autoFilter ref="A66:P70" xr:uid="{5C0FFD91-671E-4D3C-8DCC-2FA9F3BCDC04}"/>
  <tableColumns count="16">
    <tableColumn id="1" xr3:uid="{027777D6-43B9-4C39-BA34-7789BC71B490}" name="Date" dataDxfId="157"/>
    <tableColumn id="13" xr3:uid="{01F378BF-747C-4F69-852D-E28978F68037}" name="Issue, transfer,share split, buy back or Cancelation" dataDxfId="156"/>
    <tableColumn id="2" xr3:uid="{7C9523A7-939D-4108-BFA8-CA36E75C3EDB}" name="Class of Share" dataDxfId="155"/>
    <tableColumn id="3" xr3:uid="{F76C42CC-9ADE-4524-A7D6-38F95EBDCF01}" name="Certification Number" dataDxfId="154"/>
    <tableColumn id="4" xr3:uid="{31850471-C66D-4FBB-8512-617E365E4D31}" name="Serial Number From" dataDxfId="153"/>
    <tableColumn id="5" xr3:uid="{911DE519-77C8-4E7A-8AEE-D6100879658C}" name="Serial Number To" dataDxfId="152"/>
    <tableColumn id="6" xr3:uid="{9FC0127B-2543-494A-8B4C-975F9983FFF6}" name="Number of Shares Aquired" dataDxfId="151"/>
    <tableColumn id="7" xr3:uid="{FC7AF4ED-BCE8-47D5-8783-E5486F03629F}" name="Trf'd to / Trf'd from" dataDxfId="150"/>
    <tableColumn id="8" xr3:uid="{DCC10363-D3D2-429E-AE55-E45C8C5CCC57}" name="Amount Paid Per Share" dataDxfId="149" dataCellStyle="Currency"/>
    <tableColumn id="9" xr3:uid="{F7348EC0-3A11-402D-B629-74ED2E93C31D}" name="Amount Unpaid per Share" dataDxfId="148"/>
    <tableColumn id="14" xr3:uid="{67FE73F2-8ABB-4465-978A-29BBF68147EB}" name="Fully Paid? (Y/N)" dataDxfId="147"/>
    <tableColumn id="10" xr3:uid="{00506A55-6564-4947-A726-3B7A7FC8EBC3}" name="Total Number os Shares Held" dataDxfId="146"/>
    <tableColumn id="11" xr3:uid="{B7382009-1F74-44D2-B6E8-1F80CA6E0AC0}" name="Total Amount paid fo the shares" dataDxfId="145" dataCellStyle="Currency"/>
    <tableColumn id="12" xr3:uid="{07D81474-46D7-47E8-BD42-B233D92206BD}" name="Are the Shares Benedicially Held" dataDxfId="144"/>
    <tableColumn id="15" xr3:uid="{B30F53A8-726A-4BEC-8EE5-FFF805AF3988}" name="Owner / Buyer / Seller" dataDxfId="143"/>
    <tableColumn id="17" xr3:uid="{B79D4BDE-F6FF-4321-885F-5FE16DA49CCB}" name="ASIC Document Number" dataDxfId="142"/>
  </tableColumns>
  <tableStyleInfo name="TableStyleMedium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99C1640-9A7D-44D3-BC5B-91A944523A2B}" name="Table271232" displayName="Table271232" ref="A72:F74" totalsRowShown="0">
  <autoFilter ref="A72:F74" xr:uid="{499C1640-9A7D-44D3-BC5B-91A944523A2B}"/>
  <tableColumns count="6">
    <tableColumn id="1" xr3:uid="{499AC0DA-73C3-44E9-AD5D-CB1F867EBC93}" name="From"/>
    <tableColumn id="2" xr3:uid="{E32B2CBE-C4F4-485E-B3C2-0B3C287BD934}" name="To"/>
    <tableColumn id="3" xr3:uid="{CADED3DB-796C-4D77-9619-627BC05A25C7}" name="Amount"/>
    <tableColumn id="4" xr3:uid="{CA6727BC-03F4-4EC8-8384-BF2650603478}" name="Date"/>
    <tableColumn id="5" xr3:uid="{5EB7F3F3-2D68-4A6C-B220-D75CF1119C70}" name="Security"/>
    <tableColumn id="6" xr3:uid="{D1668481-E913-4A13-9F68-9C8AAAF9344F}" name="PPSR"/>
  </tableColumns>
  <tableStyleInfo name="TableStyleMedium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47E74BA-2CE3-46C1-96EA-2A14DFF5351C}" name="Table791333" displayName="Table791333" ref="A77:F80" totalsRowShown="0">
  <autoFilter ref="A77:F80" xr:uid="{547E74BA-2CE3-46C1-96EA-2A14DFF5351C}"/>
  <tableColumns count="6">
    <tableColumn id="1" xr3:uid="{DACB2ECB-72C2-4C8F-B038-14BD32FD224B}" name="Item"/>
    <tableColumn id="2" xr3:uid="{32189D57-8C11-4667-A0AE-DF4D22998D5A}" name="Purchase Date"/>
    <tableColumn id="3" xr3:uid="{70231A24-0FD7-4E1C-BE29-833FE602A511}" name="Purchase Price"/>
    <tableColumn id="4" xr3:uid="{F2BC4641-65B3-4C39-9BAE-D27A6A508440}" name="Sale Date"/>
    <tableColumn id="5" xr3:uid="{149597ED-AA21-42D4-AB11-F2AEADE9AF5E}" name="Sale Price"/>
    <tableColumn id="6" xr3:uid="{E883BC87-D10E-47A1-983F-F94949ED0E55}" name="Profit" dataDxfId="141">
      <calculatedColumnFormula>Table791333[[#This Row],[Purchase Price]]-Table791333[[#This Row],[Sale Price]]</calculatedColumnFormula>
    </tableColumn>
  </tableColumns>
  <tableStyleInfo name="TableStyleMedium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8828A3-EE6B-4825-929E-537BC1CBF10A}" name="Table1" displayName="Table1" ref="B90:Q116" totalsRowShown="0" headerRowDxfId="140" dataDxfId="139">
  <autoFilter ref="B90:Q116" xr:uid="{E38828A3-EE6B-4825-929E-537BC1CBF10A}"/>
  <tableColumns count="16">
    <tableColumn id="1" xr3:uid="{308B6AD7-6401-4D36-B2F5-A35DDF349579}" name="Date" dataDxfId="138"/>
    <tableColumn id="13" xr3:uid="{7F410E6D-2292-421C-BC7E-DCE20CCE6805}" name="Issue, transfer,share split, buy back or Cancelation" dataDxfId="137"/>
    <tableColumn id="2" xr3:uid="{906C3347-43FB-420D-A7B1-054E65883D68}" name="Class of Share" dataDxfId="136"/>
    <tableColumn id="3" xr3:uid="{FBDD5A66-BBD5-411B-A682-2B7DE71F8696}" name="Certification Number" dataDxfId="135"/>
    <tableColumn id="4" xr3:uid="{783E5CC5-7AC3-4793-A59A-0AD1C27342CF}" name="Serial Number From" dataDxfId="134"/>
    <tableColumn id="5" xr3:uid="{90753190-A4DD-4A3D-B92A-B1649B090FCF}" name="Serial Number To" dataDxfId="133"/>
    <tableColumn id="6" xr3:uid="{6C3EC916-C51C-4FB4-9548-0CD61B2E41B3}" name="Number of Shares Aquired" dataDxfId="132"/>
    <tableColumn id="7" xr3:uid="{43F603FE-1A7C-427A-A51F-9CBDAE027897}" name="Trf'd to / Trf'd from" dataDxfId="131"/>
    <tableColumn id="8" xr3:uid="{F3BADCEE-6C13-44B1-9D67-83E7B9FA3543}" name="Amount Paid Per Share" dataDxfId="130" dataCellStyle="Currency"/>
    <tableColumn id="9" xr3:uid="{BB33A5EB-A754-46CA-A7D3-B48BDEA6E57F}" name="Amount Unpaid per Share" dataDxfId="129"/>
    <tableColumn id="14" xr3:uid="{2E66FC6E-FF50-4189-87E4-7FF06C5EC369}" name="Fully Paid? (Y/N)" dataDxfId="128"/>
    <tableColumn id="10" xr3:uid="{929D7891-7CD1-41DE-A2AF-4AAC4C7D4BA1}" name="Total Number os Shares Held" dataDxfId="127"/>
    <tableColumn id="11" xr3:uid="{D0E8A27D-2450-4ECE-899A-69CAF45BD39B}" name="Total Amount paid fo the shares" dataDxfId="126" dataCellStyle="Currency"/>
    <tableColumn id="12" xr3:uid="{E7428570-75FC-469D-A66C-B267B5D41596}" name="Are the Shares Benedicially Held" dataDxfId="125"/>
    <tableColumn id="15" xr3:uid="{3F67F6CB-2941-4B30-9FD6-DCAC7B2D6C4A}" name="Owner / Buyer / Seller" dataDxfId="124"/>
    <tableColumn id="17" xr3:uid="{1432356E-C19A-44E3-A4AF-0C24E7C962FB}" name="ASIC Document Number" dataDxfId="123"/>
  </tableColumns>
  <tableStyleInfo name="TableStyleMedium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8B459F-88CD-49D6-91E5-A49935DF3DB3}" name="Table2" displayName="Table2" ref="B119:G125" totalsRowShown="0">
  <autoFilter ref="B119:G125" xr:uid="{B08B459F-88CD-49D6-91E5-A49935DF3DB3}"/>
  <tableColumns count="6">
    <tableColumn id="1" xr3:uid="{FD0B91B1-F283-4006-8771-4FCD45E9112B}" name="From"/>
    <tableColumn id="2" xr3:uid="{3B964214-1620-44CD-96D9-0B1C0D8955C6}" name="To"/>
    <tableColumn id="3" xr3:uid="{FC46BB6D-E6F0-405A-A58B-BEBF0AF6EFE7}" name="Amount"/>
    <tableColumn id="4" xr3:uid="{D8E1ED22-64BA-404C-81AF-DBFB6ACE744B}" name="Date"/>
    <tableColumn id="5" xr3:uid="{84DBB055-99DA-41D0-8A16-1337E32EF762}" name="Security"/>
    <tableColumn id="6" xr3:uid="{14831FAD-7952-4BE6-9C7E-38C6F377B45F}" name="PPSR"/>
  </tableColumns>
  <tableStyleInfo name="TableStyleMedium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D49FA42-83A2-4629-BF7D-FFC4F8A40762}" name="Table7" displayName="Table7" ref="B129:G147" totalsRowShown="0">
  <autoFilter ref="B129:G147" xr:uid="{ED49FA42-83A2-4629-BF7D-FFC4F8A40762}"/>
  <tableColumns count="6">
    <tableColumn id="1" xr3:uid="{C6E5184F-8AFE-4CEC-A327-B24265A2963B}" name="Item"/>
    <tableColumn id="2" xr3:uid="{25661A6C-2835-48C5-9D4D-A18FFD434860}" name="Purchase Date"/>
    <tableColumn id="3" xr3:uid="{A9CDCD75-D8EF-4A3F-BD1C-82FD53C3E2DE}" name="Purchase Price"/>
    <tableColumn id="4" xr3:uid="{03CEFFC6-DF7A-4D6B-9380-29E6498DF7CE}" name="Sale Date"/>
    <tableColumn id="5" xr3:uid="{43137558-8C6F-4209-9C2E-75A7EEF723DE}" name="Sale Price"/>
    <tableColumn id="6" xr3:uid="{C88971CA-C807-497C-A4C7-D9B69BE30C3E}" name="Profit"/>
  </tableColumns>
  <tableStyleInfo name="TableStyleMedium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AF61E0C9-500F-4A44-A4BE-DAE3D1BAB7D4}" name="Table46" displayName="Table46" ref="B26:H87" totalsRowShown="0" headerRowDxfId="122" headerRowBorderDxfId="121" tableBorderDxfId="120">
  <autoFilter ref="B26:H87" xr:uid="{AF61E0C9-500F-4A44-A4BE-DAE3D1BAB7D4}"/>
  <tableColumns count="7">
    <tableColumn id="1" xr3:uid="{34E16610-FD23-494B-AD7C-809873D34FE7}" name="Company Register"/>
    <tableColumn id="2" xr3:uid="{370C376E-78D3-45BA-BFBC-CBEAA08EAD7E}" name="Type"/>
    <tableColumn id="3" xr3:uid="{9AA632FE-70D4-4FFE-ABE2-65514D7E68B7}" name="Folder">
      <calculatedColumnFormula>VLOOKUP(C27,'Document Type'!$B$6:$C$34,2,FALSE)</calculatedColumnFormula>
    </tableColumn>
    <tableColumn id="4" xr3:uid="{31B06EA4-5CDA-4698-B58A-E680E436A182}" name="Date"/>
    <tableColumn id="5" xr3:uid="{C4210296-60F5-4EA5-A8BE-94C2648A9E75}" name="Manual" dataDxfId="119"/>
    <tableColumn id="6" xr3:uid="{B16DB9D3-4D4C-4FD8-B5AC-81C4AD02683B}" name="Electronicaly Stored"/>
    <tableColumn id="7" xr3:uid="{3120964C-0D17-4391-A5F7-893E7735816D}" name="By Whom"/>
  </tableColumns>
  <tableStyleInfo name="TableStyleMedium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1DDF9BF9-7C53-43B8-AB32-2C063D2033A8}" name="Table33" displayName="Table33" ref="B26:H61" totalsRowShown="0" headerRowDxfId="118">
  <autoFilter ref="B26:H61" xr:uid="{C023E9AF-2873-48A9-9B76-629859D4DFE7}">
    <filterColumn colId="1">
      <filters>
        <filter val="Asset"/>
      </filters>
    </filterColumn>
  </autoFilter>
  <sortState xmlns:xlrd2="http://schemas.microsoft.com/office/spreadsheetml/2017/richdata2" ref="B27:H61">
    <sortCondition ref="B26:B61"/>
  </sortState>
  <tableColumns count="7">
    <tableColumn id="1" xr3:uid="{CBBD2DCF-CD8F-4C0D-A820-DDAC9DA76CAB}" name="Company Register"/>
    <tableColumn id="2" xr3:uid="{419908AA-BBC4-43E9-8C29-4E03DA46C32E}" name="Type"/>
    <tableColumn id="3" xr3:uid="{341BA43D-E8D2-4143-8052-2D23E9833481}" name="Folder">
      <calculatedColumnFormula>VLOOKUP(C27,'Document Type'!$B$6:$C$34,2,FALSE)</calculatedColumnFormula>
    </tableColumn>
    <tableColumn id="4" xr3:uid="{C8ACF73E-910C-4D67-9416-B37FF907BEFF}" name="Date"/>
    <tableColumn id="5" xr3:uid="{33B97953-B90C-4B4B-B29B-F33BE6402394}" name="Manual"/>
    <tableColumn id="6" xr3:uid="{94158281-ACEC-4097-B1D0-21E2A59A24E9}" name="Electronicaly Stored"/>
    <tableColumn id="7" xr3:uid="{779F5E51-7691-44B9-B79C-2A51C4A6BA67}" name="By Whom"/>
  </tableColumns>
  <tableStyleInfo name="TableStyleMedium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6A258506-74C6-4A4A-981B-850CA5F74319}" name="Table161135" displayName="Table161135" ref="B64:Q90" totalsRowShown="0" headerRowDxfId="117" dataDxfId="116">
  <autoFilter ref="B64:Q90" xr:uid="{6A258506-74C6-4A4A-981B-850CA5F74319}"/>
  <tableColumns count="16">
    <tableColumn id="1" xr3:uid="{622F6409-A624-44FA-BBDE-6B342F91E7BD}" name="Date" dataDxfId="115"/>
    <tableColumn id="13" xr3:uid="{7DC55A29-E873-4085-BC8A-422D0BF90906}" name="Issue, transfer,share split, buy back or Cancelation" dataDxfId="114"/>
    <tableColumn id="2" xr3:uid="{9141D237-A41C-4735-BF4A-DBF0581E6BCE}" name="Class of Share" dataDxfId="113"/>
    <tableColumn id="3" xr3:uid="{991E330C-0A81-48D4-801C-601A49BDE67B}" name="Certification Number" dataDxfId="112"/>
    <tableColumn id="4" xr3:uid="{D87DEDDC-6BC3-4947-8A18-ADDC25DB6B8B}" name="Serial Number From" dataDxfId="111"/>
    <tableColumn id="5" xr3:uid="{122D02CD-B84F-4447-891A-CCF2F1EB9086}" name="Serial Number To" dataDxfId="110"/>
    <tableColumn id="6" xr3:uid="{5D150277-CDCE-4D3A-88FB-80D7B925DDFC}" name="Number of Shares Aquired" dataDxfId="109"/>
    <tableColumn id="7" xr3:uid="{320F346E-9BAD-4EA9-9BA1-40C2682A28BD}" name="Trf'd to / Trf'd from" dataDxfId="108"/>
    <tableColumn id="8" xr3:uid="{1CC3BEB1-9C5F-4DE6-B543-DE6683FAD296}" name="Amount Paid Per Share" dataDxfId="107" dataCellStyle="Currency"/>
    <tableColumn id="9" xr3:uid="{A7B63F17-E0E5-4E63-8231-AFE2466F3F39}" name="Amount Unpaid per Share" dataDxfId="106"/>
    <tableColumn id="14" xr3:uid="{A123068A-46F6-4B9F-8C6A-7829DFEA7DF4}" name="Fully Paid? (Y/N)" dataDxfId="105"/>
    <tableColumn id="10" xr3:uid="{4235A5D7-5DF6-438D-909C-1F15B81A7BA7}" name="Total Number os Shares Held" dataDxfId="104"/>
    <tableColumn id="11" xr3:uid="{596272CE-8A62-4784-8793-79290FB57A34}" name="Total Amount paid fo the shares" dataDxfId="103" dataCellStyle="Currency"/>
    <tableColumn id="12" xr3:uid="{D431A733-30AD-4D33-B88F-CA1F4DD71850}" name="Are the Shares Benedicially Held" dataDxfId="102"/>
    <tableColumn id="15" xr3:uid="{7FC6115B-2BEC-4F82-B80F-4FD1A65B9075}" name="Owner / Buyer / Seller" dataDxfId="101"/>
    <tableColumn id="17" xr3:uid="{DD74BDFB-7F7D-4728-AB53-6C5E576F41A3}" name="ASIC Document Number" dataDxfId="100"/>
  </tableColumns>
  <tableStyleInfo name="TableStyleMedium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E12E2523-BB46-4559-BDA7-0DC5B234E7BA}" name="Table271236" displayName="Table271236" ref="B93:G99" totalsRowShown="0">
  <autoFilter ref="B93:G99" xr:uid="{E12E2523-BB46-4559-BDA7-0DC5B234E7BA}"/>
  <tableColumns count="6">
    <tableColumn id="1" xr3:uid="{EF7FD280-9F79-467B-87A5-2E14B51A4AD8}" name="From"/>
    <tableColumn id="2" xr3:uid="{D8025447-E76B-450A-85B0-E63D54BE0282}" name="To"/>
    <tableColumn id="3" xr3:uid="{E756370A-5574-47FB-8714-5CF15D3B2B61}" name="Amount"/>
    <tableColumn id="4" xr3:uid="{A41E14E0-FBC5-4CC1-82AA-0282C315314A}" name="Date"/>
    <tableColumn id="5" xr3:uid="{F0646F32-4DD8-42B0-83A0-F3CF628A6609}" name="Security"/>
    <tableColumn id="6" xr3:uid="{53E7A5B4-6B7A-4A74-9F73-9F4DB9585C6E}" name="PPSR"/>
  </tableColumns>
  <tableStyleInfo name="TableStyleMedium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BF9A9FC3-7582-4C19-8DDA-5B186B3EE1E6}" name="Table791337" displayName="Table791337" ref="B102:G121" totalsRowShown="0">
  <autoFilter ref="B102:G121" xr:uid="{BF9A9FC3-7582-4C19-8DDA-5B186B3EE1E6}"/>
  <tableColumns count="6">
    <tableColumn id="1" xr3:uid="{E741D2F8-3FD0-48C8-A972-5A3D2690B8B8}" name="Item"/>
    <tableColumn id="2" xr3:uid="{EED1EB64-8F9E-4B62-B2FF-7E994413B9CB}" name="Purchase Date"/>
    <tableColumn id="3" xr3:uid="{DE96E7B9-7E6A-400D-AA69-2FC3FFA816B5}" name="Purchase Price" dataCellStyle="Currency"/>
    <tableColumn id="4" xr3:uid="{2ECF2B38-DA85-4E35-84E2-670A86838668}" name="Sale Date"/>
    <tableColumn id="5" xr3:uid="{99C18BFA-6E1A-4561-8A07-2DA1BB65BE05}" name="Sale Price"/>
    <tableColumn id="6" xr3:uid="{51715A4F-95A4-48AD-99D9-DD160C3C8EF1}" name="Profit" dataDxfId="99" dataCellStyle="Currency">
      <calculatedColumnFormula>Table791337[[#This Row],[Sale Price]]-Table791337[[#This Row],[Purchase Price]]</calculatedColumnFormula>
    </tableColumn>
  </tableColumns>
  <tableStyleInfo name="TableStyleMedium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CC810938-6C3C-4D8E-8FE8-4AC396BFFF1C}" name="Table37" displayName="Table37" ref="B31:H76" totalsRowShown="0" headerRowDxfId="98">
  <autoFilter ref="B31:H76" xr:uid="{C023E9AF-2873-48A9-9B76-629859D4DFE7}">
    <filterColumn colId="1">
      <filters>
        <filter val="Company Setup"/>
        <filter val="Members"/>
      </filters>
    </filterColumn>
  </autoFilter>
  <sortState xmlns:xlrd2="http://schemas.microsoft.com/office/spreadsheetml/2017/richdata2" ref="B32:H75">
    <sortCondition ref="B31:B76"/>
  </sortState>
  <tableColumns count="7">
    <tableColumn id="1" xr3:uid="{AA7AFB0C-6D69-4B6F-92F5-5760CF0977F6}" name="Company Register"/>
    <tableColumn id="2" xr3:uid="{134C04BD-FDA3-4004-B91B-8C220E65027B}" name="Type"/>
    <tableColumn id="3" xr3:uid="{937D09E1-A6C0-4478-987C-784BD9E0C686}" name="Folder">
      <calculatedColumnFormula>VLOOKUP(C32,'Document Type'!$B$6:$C$34,2,FALSE)</calculatedColumnFormula>
    </tableColumn>
    <tableColumn id="4" xr3:uid="{0A736649-EB7C-42A5-9DE0-5A458C532184}" name="Date"/>
    <tableColumn id="5" xr3:uid="{C61087CA-72D2-4AAB-944B-D1E50400D7EB}" name="Manual"/>
    <tableColumn id="6" xr3:uid="{BFE7CD63-1C0A-4381-B576-A8CC9B2DF4BA}" name="Electronicaly Stored"/>
    <tableColumn id="7" xr3:uid="{518761F1-F707-4870-AD92-0A19399F6847}" name="By Whom"/>
  </tableColumns>
  <tableStyleInfo name="TableStyleMedium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2DB895C7-E49C-4CB2-B212-7EA5F483C51B}" name="Table161139" displayName="Table161139" ref="B80:Q106" totalsRowShown="0" headerRowDxfId="97" dataDxfId="96">
  <autoFilter ref="B80:Q106" xr:uid="{2DB895C7-E49C-4CB2-B212-7EA5F483C51B}"/>
  <tableColumns count="16">
    <tableColumn id="1" xr3:uid="{D495830F-851E-4CED-A1B1-F0C97A7AEBAD}" name="Date" dataDxfId="95"/>
    <tableColumn id="13" xr3:uid="{6FD5FDD8-9F1F-41AA-92A1-59A02D782533}" name="Issue, transfer,share split, buy back or Cancelation" dataDxfId="94"/>
    <tableColumn id="2" xr3:uid="{352E9A1E-B66A-4CB2-B2C6-AE3649AB0350}" name="Class of Share" dataDxfId="93"/>
    <tableColumn id="3" xr3:uid="{FE1A21F3-9F59-42DC-9CB7-E319EA20A571}" name="Certification Number" dataDxfId="92"/>
    <tableColumn id="4" xr3:uid="{1123032F-5572-4C25-9924-8E16E6A036CE}" name="Serial Number From" dataDxfId="91"/>
    <tableColumn id="5" xr3:uid="{CF945D0D-D60C-4974-9E6A-C2BC10ABB68E}" name="Serial Number To" dataDxfId="90"/>
    <tableColumn id="6" xr3:uid="{BDB18EA9-0675-47FA-9786-06031BB7755E}" name="Number of Shares Aquired" dataDxfId="89"/>
    <tableColumn id="7" xr3:uid="{4826160B-1A77-4E91-AD5A-48B5B5F425A3}" name="Trf'd to / Trf'd from" dataDxfId="88"/>
    <tableColumn id="8" xr3:uid="{672AD477-461C-49C7-A611-01294A2FD4A0}" name="Amount Paid Per Share" dataDxfId="87" dataCellStyle="Currency"/>
    <tableColumn id="9" xr3:uid="{B9C7D94E-8965-4123-9A6A-F13EA9A4E987}" name="Amount Unpaid per Share" dataDxfId="86"/>
    <tableColumn id="14" xr3:uid="{6655B85C-0583-419D-9230-3DD7431FE0D4}" name="Fully Paid? (Y/N)" dataDxfId="85"/>
    <tableColumn id="10" xr3:uid="{DD1B1F42-B705-4C2A-B5E1-4721DDB651B1}" name="Total Number os Shares Held" dataDxfId="84"/>
    <tableColumn id="11" xr3:uid="{98B21FB4-EF08-4EA0-ABBA-97BCB79BF359}" name="Total Amount paid fo the shares" dataDxfId="83" dataCellStyle="Currency"/>
    <tableColumn id="12" xr3:uid="{9A45B3C8-848E-4665-B609-B83F7AE81DA4}" name="Are the Shares Benedicially Held" dataDxfId="82"/>
    <tableColumn id="15" xr3:uid="{9173A2E2-9AC3-428F-8462-6B843673B233}" name="Owner / Buyer / Seller" dataDxfId="81"/>
    <tableColumn id="17" xr3:uid="{8140FEFA-9AE3-4B0E-88E6-60ED140B1B84}" name="ASIC Document Number" dataDxfId="80"/>
  </tableColumns>
  <tableStyleInfo name="TableStyleMedium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B05046A8-68B5-4FD8-B302-9F00EF0BF5B7}" name="Table271240" displayName="Table271240" ref="B109:G115" totalsRowShown="0">
  <autoFilter ref="B109:G115" xr:uid="{B05046A8-68B5-4FD8-B302-9F00EF0BF5B7}"/>
  <tableColumns count="6">
    <tableColumn id="1" xr3:uid="{A16978A7-F7BE-4E9C-9BC9-867C1A69464E}" name="From"/>
    <tableColumn id="2" xr3:uid="{CF5B50C3-1D72-4DA1-996E-EDBEA54B5DAC}" name="To"/>
    <tableColumn id="3" xr3:uid="{EBB8869E-4B2B-4C28-BD26-6848604F0F71}" name="Amount"/>
    <tableColumn id="4" xr3:uid="{2671FFDC-409D-4A32-A9F0-E570DEDC9601}" name="Date"/>
    <tableColumn id="5" xr3:uid="{510284BF-7024-49D1-AC4A-5C67BBFAAF03}" name="Security"/>
    <tableColumn id="6" xr3:uid="{90E6290E-FE34-4B9D-94BF-FC9839D78956}" name="PPSR"/>
  </tableColumns>
  <tableStyleInfo name="TableStyleMedium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C6B82FC9-0CDA-4BFA-AA94-2E69D9DB8A3E}" name="Table791341" displayName="Table791341" ref="B118:G136" totalsRowShown="0">
  <autoFilter ref="B118:G136" xr:uid="{C6B82FC9-0CDA-4BFA-AA94-2E69D9DB8A3E}"/>
  <tableColumns count="6">
    <tableColumn id="1" xr3:uid="{3377611D-8E96-4C7B-AC46-AF73DE272ECF}" name="Item"/>
    <tableColumn id="2" xr3:uid="{9849B15E-36C0-4C1B-8B55-DB5C6AF84D7F}" name="Purchase Date"/>
    <tableColumn id="3" xr3:uid="{AB5C843E-75CF-421F-84E6-DAAE5FD9BE84}" name="Purchase Price"/>
    <tableColumn id="4" xr3:uid="{69850181-3C17-406C-BF19-B2BEC78F66A0}" name="Sale Date"/>
    <tableColumn id="5" xr3:uid="{77E5D6B4-7043-4081-902C-B4AA91392806}" name="Sale Price"/>
    <tableColumn id="6" xr3:uid="{56BC19CC-933B-481B-A5DA-BB794917CEBD}" name="Profit" dataDxfId="79">
      <calculatedColumnFormula>Table791341[[#This Row],[Purchase Price]]-Table791341[[#This Row],[Sale Price]]</calculatedColumnFormula>
    </tableColumn>
  </tableColumns>
  <tableStyleInfo name="TableStyleMedium1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DA2E9E6C-239A-46B4-B893-4982BC350396}" name="Table41" displayName="Table41" ref="B26:H61" totalsRowShown="0" headerRowDxfId="78">
  <autoFilter ref="B26:H61" xr:uid="{C023E9AF-2873-48A9-9B76-629859D4DFE7}"/>
  <tableColumns count="7">
    <tableColumn id="1" xr3:uid="{D1FD8F19-B960-4333-9589-F322C11BCCEE}" name="Company Register"/>
    <tableColumn id="2" xr3:uid="{C008173A-B1E8-4D5D-B15B-7A5C2BEB3008}" name="Type"/>
    <tableColumn id="3" xr3:uid="{BAEAC8A1-C170-4CC8-90A7-10D6157AE987}" name="Folder">
      <calculatedColumnFormula>VLOOKUP(C27,'Document Type'!$B$6:$C$34,2,FALSE)</calculatedColumnFormula>
    </tableColumn>
    <tableColumn id="4" xr3:uid="{81A0E628-D697-40A9-BADA-21592EF53EAC}" name="Date"/>
    <tableColumn id="5" xr3:uid="{649F2672-378F-4918-AD64-65167AD9BBDE}" name="Manual"/>
    <tableColumn id="6" xr3:uid="{BD210E2C-6FE7-4622-9997-7DA54579AD8E}" name="Electronicaly Stored"/>
    <tableColumn id="7" xr3:uid="{E876FFCD-2B1D-4CD2-AC41-5C795F8BEAF0}" name="By Whom"/>
  </tableColumns>
  <tableStyleInfo name="TableStyleMedium1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FD4909E3-DDDC-4478-983C-8F4B5F409BB6}" name="Table161143" displayName="Table161143" ref="B64:Q90" totalsRowShown="0" headerRowDxfId="77" dataDxfId="76">
  <autoFilter ref="B64:Q90" xr:uid="{FD4909E3-DDDC-4478-983C-8F4B5F409BB6}"/>
  <tableColumns count="16">
    <tableColumn id="1" xr3:uid="{1F3DB119-2EC1-412B-8170-360533FF956E}" name="Date" dataDxfId="75"/>
    <tableColumn id="13" xr3:uid="{75D2A5A1-1E9E-4405-A405-0A8D4DC1CBDB}" name="Issue, transfer,share split, buy back or Cancelation" dataDxfId="74"/>
    <tableColumn id="2" xr3:uid="{0FD62867-F4E3-4B82-8241-1E4891C1EF1F}" name="Class of Share" dataDxfId="73"/>
    <tableColumn id="3" xr3:uid="{7EC9A1F4-055C-4C70-B311-725B28B31CBC}" name="Certification Number" dataDxfId="72"/>
    <tableColumn id="4" xr3:uid="{381D55C4-B3EF-41F6-B186-708D6A39870F}" name="Serial Number From" dataDxfId="71"/>
    <tableColumn id="5" xr3:uid="{25D78B3C-6234-48FC-B59F-0B6F9E4DFFF9}" name="Serial Number To" dataDxfId="70"/>
    <tableColumn id="6" xr3:uid="{7B6E84AF-406C-4651-ABDF-CFA759B305CC}" name="Number of Shares Aquired" dataDxfId="69"/>
    <tableColumn id="7" xr3:uid="{1E895908-9A72-4543-AF68-5FD4C2766875}" name="Trf'd to / Trf'd from" dataDxfId="68"/>
    <tableColumn id="8" xr3:uid="{2DA1A422-D477-43FA-A434-939284B2719E}" name="Amount Paid Per Share" dataDxfId="67" dataCellStyle="Currency"/>
    <tableColumn id="9" xr3:uid="{2790046A-1334-43F9-9EC8-08D1DB0A7169}" name="Amount Unpaid per Share" dataDxfId="66"/>
    <tableColumn id="14" xr3:uid="{99733AE2-887E-4CD6-AD4C-A8F5C9A63F46}" name="Fully Paid? (Y/N)" dataDxfId="65"/>
    <tableColumn id="10" xr3:uid="{AC92AB96-612E-4396-8272-352BC135CE90}" name="Total Number os Shares Held" dataDxfId="64"/>
    <tableColumn id="11" xr3:uid="{4A70D38E-5DBA-4FB9-A56C-64D2555E76E0}" name="Total Amount paid fo the shares" dataDxfId="63" dataCellStyle="Currency"/>
    <tableColumn id="12" xr3:uid="{2A20B531-97E2-49D3-8CA5-E8B2A0D0B801}" name="Are the Shares Benedicially Held" dataDxfId="62"/>
    <tableColumn id="15" xr3:uid="{955C3CD4-92A5-4E13-A457-8213BE688217}" name="Owner / Buyer / Seller" dataDxfId="61"/>
    <tableColumn id="17" xr3:uid="{86989B9E-8F83-405D-B731-C59AC3648699}" name="ASIC Document Number" dataDxfId="60"/>
  </tableColumns>
  <tableStyleInfo name="TableStyleMedium1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6C61023A-DBA4-4222-BBDE-55964DDB4F02}" name="Table271244" displayName="Table271244" ref="B93:G99" totalsRowShown="0">
  <autoFilter ref="B93:G99" xr:uid="{6C61023A-DBA4-4222-BBDE-55964DDB4F02}"/>
  <tableColumns count="6">
    <tableColumn id="1" xr3:uid="{BFAFABD5-0292-4DF0-A9C0-FD58AE400D6D}" name="From"/>
    <tableColumn id="2" xr3:uid="{6BCEB00C-06AB-4950-8DEF-C1044BF1AB29}" name="To"/>
    <tableColumn id="3" xr3:uid="{CB35279F-04AA-42C6-8ADE-7433C4C4875A}" name="Amount"/>
    <tableColumn id="4" xr3:uid="{8DB78AEA-D32F-4F9B-AAE5-59B2ABC6BEF2}" name="Date"/>
    <tableColumn id="5" xr3:uid="{F87A79E9-DCF3-4959-AA0A-032E822B9B06}" name="Security"/>
    <tableColumn id="6" xr3:uid="{BEC24B1B-1BE4-4C99-A168-7A9F2C41E25C}" name="PPSR"/>
  </tableColumns>
  <tableStyleInfo name="TableStyleMedium1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E333611E-5949-49B3-A5B2-EBBD4EE0E2C1}" name="Table791345" displayName="Table791345" ref="B102:G120" totalsRowShown="0">
  <autoFilter ref="B102:G120" xr:uid="{E333611E-5949-49B3-A5B2-EBBD4EE0E2C1}"/>
  <tableColumns count="6">
    <tableColumn id="1" xr3:uid="{8879783F-ED55-425A-B340-29A8488F0BFB}" name="Item"/>
    <tableColumn id="2" xr3:uid="{16843DAD-E193-4085-AA70-7451A0363756}" name="Purchase Date"/>
    <tableColumn id="3" xr3:uid="{295AFA60-6155-4D38-AE88-CFF1F2C2FB9A}" name="Purchase Price"/>
    <tableColumn id="4" xr3:uid="{7389AE0B-A23C-44C8-8396-9C8A174FB110}" name="Sale Date"/>
    <tableColumn id="5" xr3:uid="{646E1B0C-E26C-464C-9863-51E9566A0DE7}" name="Sale Price"/>
    <tableColumn id="6" xr3:uid="{598F272D-CE1A-408B-853F-C3C07CDAC67E}" name="Profit" dataDxfId="59">
      <calculatedColumnFormula>Table791345[[#This Row],[Purchase Price]]-Table791345[[#This Row],[Sale Price]]</calculatedColumnFormula>
    </tableColumn>
  </tableColumns>
  <tableStyleInfo name="TableStyleMedium1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C5800547-436D-44BE-A1D5-80903BA55B89}" name="Table45" displayName="Table45" ref="B26:H62" totalsRowShown="0" headerRowDxfId="58">
  <autoFilter ref="B26:H62" xr:uid="{C5800547-436D-44BE-A1D5-80903BA55B89}"/>
  <tableColumns count="7">
    <tableColumn id="1" xr3:uid="{EA4D9349-26E2-4891-A270-5D4F5DF2380E}" name="Company Register"/>
    <tableColumn id="2" xr3:uid="{3E055A4D-29CC-4FD2-8AEF-7F483C1BAB2E}" name="Type"/>
    <tableColumn id="3" xr3:uid="{6EF53CAD-1049-4017-B5CC-E8AD5EA395B7}" name="Folder"/>
    <tableColumn id="4" xr3:uid="{46C0B7E4-F9AB-4A2D-B290-DA9841BA22AF}" name="Date"/>
    <tableColumn id="5" xr3:uid="{A2AD87AB-86F9-4E74-91D4-F5640DF588A7}" name="Manual"/>
    <tableColumn id="6" xr3:uid="{F290F509-1128-4AE3-9DB4-CABA17422ECE}" name="Electronicaly Stored"/>
    <tableColumn id="7" xr3:uid="{833AB556-CF85-4285-BB44-87BC6B68B633}" name="By Whom"/>
  </tableColumns>
  <tableStyleInfo name="TableStyleMedium1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9067E928-9F7F-41A7-82D2-6FBB2F48D869}" name="Table161148" displayName="Table161148" ref="B65:Q91" totalsRowShown="0" headerRowDxfId="57" dataDxfId="56">
  <autoFilter ref="B65:Q91" xr:uid="{9067E928-9F7F-41A7-82D2-6FBB2F48D869}"/>
  <tableColumns count="16">
    <tableColumn id="1" xr3:uid="{898B0024-5E4C-40D0-A9BB-9F97445C7A69}" name="Date" dataDxfId="55"/>
    <tableColumn id="13" xr3:uid="{AFE85C32-2769-446D-93AE-3904A1E7CBD5}" name="Issue, transfer,share split, buy back or Cancelation" dataDxfId="54"/>
    <tableColumn id="2" xr3:uid="{276105B0-65A6-43A8-968B-99F1A434B36E}" name="Class of Share" dataDxfId="53"/>
    <tableColumn id="3" xr3:uid="{8265B51F-169A-45C7-A2B7-E30891915399}" name="Certification Number" dataDxfId="52"/>
    <tableColumn id="4" xr3:uid="{B5AA8693-8367-4D2A-BB69-6A0A1BE77A37}" name="Serial Number From" dataDxfId="51"/>
    <tableColumn id="5" xr3:uid="{B3B51F92-0ADC-4156-8D63-D7653F55BFE4}" name="Serial Number To" dataDxfId="50"/>
    <tableColumn id="6" xr3:uid="{F106C9E0-B691-4CB0-B561-748D1C2B3AC0}" name="Number of Shares Aquired" dataDxfId="49"/>
    <tableColumn id="7" xr3:uid="{FBBF484C-2015-4C4F-AFA0-C0A4C59DECF5}" name="Trf'd to / Trf'd from" dataDxfId="48"/>
    <tableColumn id="8" xr3:uid="{8C929824-FEBC-476D-BA91-098D7A849574}" name="Amount Paid Per Share" dataDxfId="47" dataCellStyle="Currency"/>
    <tableColumn id="9" xr3:uid="{93135768-B315-458A-9071-90B21122E819}" name="Amount Unpaid per Share" dataDxfId="46"/>
    <tableColumn id="14" xr3:uid="{295CF100-AD83-4321-9A5A-A44C6685B094}" name="Fully Paid? (Y/N)" dataDxfId="45"/>
    <tableColumn id="10" xr3:uid="{4E63687B-7968-4BF7-BC4E-BE7565582999}" name="Total Number os Shares Held" dataDxfId="44"/>
    <tableColumn id="11" xr3:uid="{1621B40E-A0E1-40BB-98EC-8C56BFEDCDD8}" name="Total Amount paid fo the shares" dataDxfId="43" dataCellStyle="Currency"/>
    <tableColumn id="12" xr3:uid="{6AC44752-8169-4B6D-88D0-76ACED23BCE3}" name="Are the Shares Benedicially Held" dataDxfId="42"/>
    <tableColumn id="15" xr3:uid="{4630ACA6-ABD7-42FD-9A0D-934D3B9E74B4}" name="Owner / Buyer / Seller" dataDxfId="41"/>
    <tableColumn id="17" xr3:uid="{06FC4101-13A7-43E6-AF6A-8B6FFAD9F024}" name="ASIC Document Number" dataDxfId="40"/>
  </tableColumns>
  <tableStyleInfo name="TableStyleMedium1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2D49F2AA-465C-4D57-A905-E3606C9D2B4C}" name="Table271249" displayName="Table271249" ref="B94:G100" totalsRowShown="0">
  <autoFilter ref="B94:G100" xr:uid="{2D49F2AA-465C-4D57-A905-E3606C9D2B4C}"/>
  <tableColumns count="6">
    <tableColumn id="1" xr3:uid="{54A40547-4C1F-4804-98D8-BA49B550AA4F}" name="From"/>
    <tableColumn id="2" xr3:uid="{CFD074A0-1898-481B-931F-665C2F6C8E56}" name="To"/>
    <tableColumn id="3" xr3:uid="{17E1F8F1-71A4-4C94-B775-84ADEA23FB86}" name="Amount"/>
    <tableColumn id="4" xr3:uid="{248E632B-B103-43E2-8B94-A970405C0BB2}" name="Date"/>
    <tableColumn id="5" xr3:uid="{4564D9C4-5347-4E79-B596-C965604C1711}" name="Security"/>
    <tableColumn id="6" xr3:uid="{4396102A-60E9-4D59-9A4F-18E38F8B0252}" name="PPSR"/>
  </tableColumns>
  <tableStyleInfo name="TableStyleMedium1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4501EE66-ECFF-4B17-AA17-AB12588F8DD3}" name="Table791350" displayName="Table791350" ref="B103:G121" totalsRowShown="0">
  <autoFilter ref="B103:G121" xr:uid="{4501EE66-ECFF-4B17-AA17-AB12588F8DD3}"/>
  <tableColumns count="6">
    <tableColumn id="1" xr3:uid="{9F561998-952C-4FAA-BB09-987AEA76699A}" name="Item"/>
    <tableColumn id="2" xr3:uid="{AEA3E77A-EBDC-4221-9C99-C97A59E43342}" name="Purchase Date"/>
    <tableColumn id="3" xr3:uid="{022E6E37-07C1-4903-B048-7F52EE77A06A}" name="Purchase Price"/>
    <tableColumn id="4" xr3:uid="{2126AA8F-E9A9-451E-B50F-B9C97568011C}" name="Sale Date"/>
    <tableColumn id="5" xr3:uid="{5CD0A7B6-3336-463B-8483-806D323F4129}" name="Sale Price"/>
    <tableColumn id="6" xr3:uid="{08B83074-6DC9-4A5C-8E32-DB22143CEEFC}" name="Profit" dataDxfId="39">
      <calculatedColumnFormula>Table791350[[#This Row],[Purchase Price]]-Table791350[[#This Row],[Sale Price]]</calculatedColumnFormula>
    </tableColumn>
  </tableColumns>
  <tableStyleInfo name="TableStyleMedium1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5AF81B3-DBAC-40C5-8E99-FA8DBF67F1CB}" name="Table1611" displayName="Table1611" ref="B64:Q90" totalsRowShown="0" headerRowDxfId="38" dataDxfId="37">
  <autoFilter ref="B64:Q90" xr:uid="{25AF81B3-DBAC-40C5-8E99-FA8DBF67F1CB}"/>
  <tableColumns count="16">
    <tableColumn id="1" xr3:uid="{44E88A0A-129D-45B1-ACD3-321A15823B30}" name="Date" dataDxfId="36"/>
    <tableColumn id="13" xr3:uid="{79E8B7B8-3007-44A7-B27E-FA35D163A2E6}" name="Issue, transfer,share split, buy back or Cancelation" dataDxfId="35"/>
    <tableColumn id="2" xr3:uid="{8E3EF30A-ADF8-40E8-957E-F5CA11130B20}" name="Class of Share" dataDxfId="34"/>
    <tableColumn id="3" xr3:uid="{471EB44C-314F-4828-A0D5-44DA7CF1D71D}" name="Certification Number" dataDxfId="33"/>
    <tableColumn id="4" xr3:uid="{60FC8D3E-EF96-4E2A-8BE5-686E36269D5A}" name="Serial Number From" dataDxfId="32"/>
    <tableColumn id="5" xr3:uid="{2B5D09B9-4756-4A7F-B549-96F69D34755E}" name="Serial Number To" dataDxfId="31"/>
    <tableColumn id="6" xr3:uid="{34ED063A-286F-4460-861E-E7F11A424A89}" name="Number of Shares Aquired" dataDxfId="30"/>
    <tableColumn id="7" xr3:uid="{76CEF904-72C4-491D-B1C0-7B8D590B3F0E}" name="Trf'd to / Trf'd from" dataDxfId="29"/>
    <tableColumn id="8" xr3:uid="{B1A49C4D-C244-48C2-A840-85FE5761CC62}" name="Amount Paid Per Share" dataDxfId="28" dataCellStyle="Currency"/>
    <tableColumn id="9" xr3:uid="{97F53103-3B03-4AFC-9C82-1A2E69FE6E01}" name="Amount Unpaid per Share" dataDxfId="27"/>
    <tableColumn id="14" xr3:uid="{D29C7F22-3596-4459-B5B2-FB1C4936668A}" name="Fully Paid? (Y/N)" dataDxfId="26"/>
    <tableColumn id="10" xr3:uid="{D66552D5-795D-4002-9869-FCF4E38B7FE9}" name="Total Number os Shares Held" dataDxfId="25"/>
    <tableColumn id="11" xr3:uid="{9FF99B16-E21B-49D3-9D83-22ACFE90638A}" name="Total Amount paid fo the shares" dataDxfId="24" dataCellStyle="Currency"/>
    <tableColumn id="12" xr3:uid="{30E21B14-9CDB-4A15-BD75-654D356E9061}" name="Are the Shares Benedicially Held" dataDxfId="23"/>
    <tableColumn id="15" xr3:uid="{D7BEE6D9-852D-4BE3-97E2-0E201EACE961}" name="Owner / Buyer / Seller" dataDxfId="22"/>
    <tableColumn id="17" xr3:uid="{BDD9BE84-BE84-44FA-9859-B3760B87E234}" name="ASIC Document Number" dataDxfId="21"/>
  </tableColumns>
  <tableStyleInfo name="TableStyleMedium1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E2287C6-AD1B-45AF-9498-357AC56F07FC}" name="Table2712" displayName="Table2712" ref="B93:G99" totalsRowShown="0">
  <autoFilter ref="B93:G99" xr:uid="{4E2287C6-AD1B-45AF-9498-357AC56F07FC}"/>
  <tableColumns count="6">
    <tableColumn id="1" xr3:uid="{D470898A-D656-4E73-B1A4-47C14E4ABB76}" name="From"/>
    <tableColumn id="2" xr3:uid="{2309C56B-0605-4C09-AABA-393495CBEA53}" name="To"/>
    <tableColumn id="3" xr3:uid="{15CA7FEB-B69E-4A28-A65D-74A95FADD2C2}" name="Amount"/>
    <tableColumn id="4" xr3:uid="{3CFCAE99-A842-47D1-8792-3BC3B34F467A}" name="Date"/>
    <tableColumn id="5" xr3:uid="{6F4E59F7-BE84-4858-8F39-1749A7F36735}" name="Security"/>
    <tableColumn id="6" xr3:uid="{68FD06B1-53A1-4A37-9A62-307D5DACF9E2}" name="PPSR"/>
  </tableColumns>
  <tableStyleInfo name="TableStyleMedium1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74208A7-2477-458E-B7C7-42B491F56C62}" name="Table7913" displayName="Table7913" ref="B102:H120" totalsRowShown="0">
  <autoFilter ref="B102:H120" xr:uid="{D74208A7-2477-458E-B7C7-42B491F56C62}"/>
  <tableColumns count="7">
    <tableColumn id="1" xr3:uid="{FB46AA62-9FEB-411C-A744-D31979B24018}" name="Item"/>
    <tableColumn id="2" xr3:uid="{7FCF0A1D-F3D2-4D08-B4AA-D5BD572B0237}" name="Purchase Date"/>
    <tableColumn id="3" xr3:uid="{552DA208-550F-4E30-B28D-6FE67628E51E}" name="Purchase Price"/>
    <tableColumn id="4" xr3:uid="{4E6C349F-DC26-46A7-AA82-D02D97DE3383}" name="Sale Date"/>
    <tableColumn id="5" xr3:uid="{1ACA933D-94E1-4987-8585-7BD2B1891C3E}" name="Sale Price"/>
    <tableColumn id="7" xr3:uid="{056796B3-FF04-43D8-B13F-B927A383D45B}" name="Depreciation"/>
    <tableColumn id="6" xr3:uid="{6CADCEC1-2AEC-4B45-82EA-FD5A10073F20}" name="Profit" dataDxfId="20">
      <calculatedColumnFormula>Table7913[[#This Row],[Sale Price]]-Table7913[[#This Row],[Purchase Price]]+Table7913[[#This Row],[Depreciation]]</calculatedColumnFormula>
    </tableColumn>
  </tableColumns>
  <tableStyleInfo name="TableStyleMedium1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CD6D098-4DBE-4B04-B6BB-3B4746972C9D}" name="Table9" displayName="Table9" ref="B26:H61" totalsRowShown="0" headerRowDxfId="19">
  <autoFilter ref="B26:H61" xr:uid="{C023E9AF-2873-48A9-9B76-629859D4DFE7}"/>
  <tableColumns count="7">
    <tableColumn id="1" xr3:uid="{7C4C94B0-F9D4-4DA8-8330-B8A63D2BDCFA}" name="Company Register"/>
    <tableColumn id="2" xr3:uid="{82EA9C8D-CC0E-4BAD-BB60-914658523523}" name="Type"/>
    <tableColumn id="3" xr3:uid="{6E1B1765-A29B-4B91-87F9-53AD2B74DBFA}" name="Folder">
      <calculatedColumnFormula>VLOOKUP(C27,'Document Type'!$B$6:$C$34,2,FALSE)</calculatedColumnFormula>
    </tableColumn>
    <tableColumn id="4" xr3:uid="{E3EFAD62-096A-431E-AA14-9DA920C3D207}" name="Date"/>
    <tableColumn id="5" xr3:uid="{CE4CEE29-3689-4C36-90B2-28BD4AD15350}" name="Manual"/>
    <tableColumn id="6" xr3:uid="{2B21FCDE-142C-4633-975E-BFF0F5D35BDD}" name="Electronicaly Stored"/>
    <tableColumn id="7" xr3:uid="{3E566923-5B77-4050-BDAB-6498EFC33086}" name="By Whom"/>
  </tableColumns>
  <tableStyleInfo name="TableStyleMedium1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524A77-7CD5-4CCC-862F-018723742335}" name="Table3" displayName="Table3" ref="A1:M19" totalsRowShown="0" headerRowDxfId="18" dataDxfId="16" headerRowBorderDxfId="17" tableBorderDxfId="15">
  <autoFilter ref="A1:M19" xr:uid="{43524A77-7CD5-4CCC-862F-018723742335}"/>
  <tableColumns count="13">
    <tableColumn id="1" xr3:uid="{A7AAA094-3160-434A-A34F-7F1E4565DCB7}" name="Group" dataDxfId="14" dataCellStyle="Neutral"/>
    <tableColumn id="2" xr3:uid="{4C8113FE-1E9A-45FE-B713-28F0A90898FA}" name="Company" dataDxfId="13"/>
    <tableColumn id="3" xr3:uid="{A6F89E5B-1BFA-44A3-B4FD-C66413048F31}" name="Review Date" dataDxfId="12"/>
    <tableColumn id="4" xr3:uid="{AF19EB43-E0EC-45F8-9D08-614DF14A1F9C}" name="ACN" dataDxfId="11"/>
    <tableColumn id="5" xr3:uid="{0B9F8142-FD9E-45E0-867B-D46CC464A447}" name="abn" dataDxfId="10"/>
    <tableColumn id="6" xr3:uid="{933B3D1C-608A-4428-9775-64305155B84F}" name="TFN" dataDxfId="9"/>
    <tableColumn id="7" xr3:uid="{F98E9895-2122-4528-88D3-1976A180CD8B}" name="Director" dataDxfId="8"/>
    <tableColumn id="8" xr3:uid="{F5C337DC-22C1-44A9-BBE9-3643485D1C7C}" name="Established Date" dataDxfId="7"/>
    <tableColumn id="9" xr3:uid="{BC654C2F-044D-4857-A856-F0036169301F}" name="Corporate Key" dataDxfId="6"/>
    <tableColumn id="10" xr3:uid="{03F7DB44-1ECB-4755-82BB-D6B27AB0F9D8}" name="User Name" dataDxfId="5"/>
    <tableColumn id="11" xr3:uid="{1234C06A-C35C-4516-92D4-CC0458929E1D}" name="Password" dataDxfId="4"/>
    <tableColumn id="12" xr3:uid="{61D990C5-7707-4542-9D56-76D0FE211672}" name="Recovery Question" dataDxfId="3"/>
    <tableColumn id="13" xr3:uid="{959289DD-9301-4014-BA0D-CCAD6166128E}" name="Answer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ello@joii.org.au" TargetMode="External"/><Relationship Id="rId3" Type="http://schemas.openxmlformats.org/officeDocument/2006/relationships/hyperlink" Target="http://abr.business.gov.au/Search.aspx?SearchText=53%20158%20275%20640" TargetMode="External"/><Relationship Id="rId7" Type="http://schemas.openxmlformats.org/officeDocument/2006/relationships/hyperlink" Target="mailto:hello@joii.org.au" TargetMode="External"/><Relationship Id="rId2" Type="http://schemas.openxmlformats.org/officeDocument/2006/relationships/hyperlink" Target="http://abr.business.gov.au/Search.aspx?SearchText=95%20142%20372%20245" TargetMode="External"/><Relationship Id="rId1" Type="http://schemas.openxmlformats.org/officeDocument/2006/relationships/hyperlink" Target="http://abr.business.gov.au/Search.aspx?SearchText=25%20093%20693%20415" TargetMode="External"/><Relationship Id="rId6" Type="http://schemas.openxmlformats.org/officeDocument/2006/relationships/hyperlink" Target="http://abr.business.gov.au/Search.aspx?SearchText=63%20605%20103%20615" TargetMode="External"/><Relationship Id="rId5" Type="http://schemas.openxmlformats.org/officeDocument/2006/relationships/hyperlink" Target="http://abr.business.gov.au/Search.aspx?SearchText=77%20159%20631%20240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://abr.business.gov.au/Search.aspx?SearchText=13%20629%20932%20887" TargetMode="External"/><Relationship Id="rId9" Type="http://schemas.openxmlformats.org/officeDocument/2006/relationships/hyperlink" Target="mailto:hello@joii.org.a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hello@joii.org.au" TargetMode="External"/><Relationship Id="rId3" Type="http://schemas.openxmlformats.org/officeDocument/2006/relationships/hyperlink" Target="http://abr.business.gov.au/Search.aspx?SearchText=55%20610%20667%20555" TargetMode="External"/><Relationship Id="rId7" Type="http://schemas.openxmlformats.org/officeDocument/2006/relationships/hyperlink" Target="mailto:hello@lyw.org.au" TargetMode="External"/><Relationship Id="rId2" Type="http://schemas.openxmlformats.org/officeDocument/2006/relationships/hyperlink" Target="http://abr.business.gov.au/Search.aspx?SearchText=71%20159%20632%20087" TargetMode="External"/><Relationship Id="rId1" Type="http://schemas.openxmlformats.org/officeDocument/2006/relationships/hyperlink" Target="http://abr.business.gov.au/Search.aspx?SearchText=42%20145%20575%20659" TargetMode="External"/><Relationship Id="rId6" Type="http://schemas.openxmlformats.org/officeDocument/2006/relationships/hyperlink" Target="http://abr.business.gov.au/Search.aspx?SearchText=34%20658%20602%20478" TargetMode="External"/><Relationship Id="rId11" Type="http://schemas.openxmlformats.org/officeDocument/2006/relationships/hyperlink" Target="http://abr.business.gov.au/Search.aspx?SearchText=34%20610%20974%20019" TargetMode="External"/><Relationship Id="rId5" Type="http://schemas.openxmlformats.org/officeDocument/2006/relationships/hyperlink" Target="http://abr.business.gov.au/Search.aspx?SearchText=47%20658%20463%20659" TargetMode="External"/><Relationship Id="rId10" Type="http://schemas.openxmlformats.org/officeDocument/2006/relationships/hyperlink" Target="http://abr.business.gov.au/Search.aspx?SearchText=59%20092%20659%20688" TargetMode="External"/><Relationship Id="rId4" Type="http://schemas.openxmlformats.org/officeDocument/2006/relationships/hyperlink" Target="http://abr.business.gov.au/Search.aspx?SearchText=68%20145%20576%20138" TargetMode="External"/><Relationship Id="rId9" Type="http://schemas.openxmlformats.org/officeDocument/2006/relationships/hyperlink" Target="http://abr.business.gov.au/Search.aspx?SearchText=59%20092%20659%20688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hyperlink" Target="../../../../../my?listurl=%2Fpersonal%2Frobert%5Ftekna%5Fcom%5Fau%2FDocuments&amp;remoteItem=%7B%22mp%22%3A%7B%22webAbsoluteUrl%22%3A%22https%3A%2F%2Fgotekna%2Dmy%2Esharepoint%2Ecom%2Fpersonal%2Frachel%5Ftekna%5Fcom%5Fau%22%2C%22listFullUrl%22%3A%22https%3A%2F%2Fgotekna%2Dmy%2Esharepoint%2Ecom%2Fpersonal%2Frachel%5Ftekna%5Fcom%5Fau%2FDocuments%22%2C%22rootFolder%22%3A%22%2Fpersonal%2Frachel%5Ftekna%5Fcom%5Fau%2FDocuments%2FAccounts%20%2D%20Internal%22%7D%2C%22rsi%22%3A%7B%22listFullUrl%22%3A%22https%3A%2F%2Fgotekna%2Dmy%2Esharepoint%2Ecom%2Fpersonal%2Frobert%5Ftekna%5Fcom%5Fau%2FDocuments%22%2C%22rootFolder%22%3A%22%2Fpersonal%2Frobert%5Ftekna%5Fcom%5Fau%2FDocuments%2FAccounts%20%2D%20Internal%2FCorporate%20File%2FCo%20Invest%20Group%2FCo%20Invest%20Homes%2FCompany%20Setup%22%2C%22webAbsoluteUrl%22%3A%22https%3A%2F%2Fgotekna%2Dmy%2Esharepoint%2Ecom%2Fpersonal%2Frobert%5Ftekna%5Fcom%5Fau%22%7D%7D&amp;viewid=fd278aea%2Df16b%2D4bd9%2Da067%2Dd3319a1487e8&amp;id=%2Fpersonal%2Frobert%5Ftekna%5Fcom%5Fau%2FDocuments%2FAccounts%20%2D%20Internal%2FCorporate%20File%2FCo%20Invest%20Group%2FCo%20Invest%20Homes%2FCompany%20Setup%2FCo%20Invest%20Homes%20Tax%20File%20Number%2Epdf&amp;parent=%2Fpersonal%2Frobert%5Ftekna%5Fcom%5Fau%2FDocuments%2FAccounts%20%2D%20Internal%2FCorporate%20File%2FCo%20Invest%20Group%2FCo%20Invest%20Homes%2FCompany%20Setup&amp;parentview=0" TargetMode="External"/><Relationship Id="rId7" Type="http://schemas.openxmlformats.org/officeDocument/2006/relationships/table" Target="../tables/table3.xml"/><Relationship Id="rId2" Type="http://schemas.openxmlformats.org/officeDocument/2006/relationships/hyperlink" Target="../../../../../:b:/g/personal/robert_tekna_com_au/EcSxjR_BpMxLuckkSUQsPOMB3TYfXdzMGevsOWH_kuuT-w?e=D4nAbJ" TargetMode="External"/><Relationship Id="rId1" Type="http://schemas.openxmlformats.org/officeDocument/2006/relationships/hyperlink" Target="../../../../../:f:/g/personal/robert_tekna_com_au/ErHB8mxs8cBJv6TPgXbfPkQBvu_3apgj2mRGHNQTwjORig?e=2hdJdQ" TargetMode="Externa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hyperlink" Target="../../../../../:b:/g/personal/robert_tekna_com_au/Ebyql6B_N_dCgKqNkdq-h0IBiL39ncjtXPQfpcv4FVtMFQ?e=qcmsun" TargetMode="External"/><Relationship Id="rId1" Type="http://schemas.openxmlformats.org/officeDocument/2006/relationships/hyperlink" Target="../../../../../:f:/g/personal/robert_tekna_com_au/EjVCFM0YKNJCpr26a9v-z8oBIYzmiZdUNMPHwbqT2w7hgA?e=xLV9IK" TargetMode="Externa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hyperlink" Target="../../../../:b:/g/personal/robert_tekna_com_au/EZYNaIUTCxdOndxY2GzmdOQBIxbVZ6pXQcC8I55gRui0qQ?e=PzZJHX" TargetMode="External"/><Relationship Id="rId1" Type="http://schemas.openxmlformats.org/officeDocument/2006/relationships/hyperlink" Target="Corporate%20File/Team%20Harder%20Super%20Investment%20Group/W2G%20Assets" TargetMode="External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hyperlink" Target="Corporate%20File/Team%20Harder%20Super%20Investment%20Group/Team%20Harder%20Super%20Investments" TargetMode="Externa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hyperlink" Target="../../../../../:b:/g/personal/robert_tekna_com_au/EeJT43uiAZJFikFNzlxcVWoBSsC292PWOrzum4EabCW2eA?e=NEaOBu" TargetMode="External"/><Relationship Id="rId1" Type="http://schemas.openxmlformats.org/officeDocument/2006/relationships/hyperlink" Target="../../../../../my?id=%2Fpersonal%2Frobert%5Ftekna%5Fcom%5Fau%2FDocuments%2FAccounts%20%2D%20Internal%2FCorporate%20File%2FTeam%20Harder%20Group%2FTeam%20Harder%20Family%20Trust&amp;login_hint=robert%40tekna%2Ecom%2Eau" TargetMode="External"/><Relationship Id="rId6" Type="http://schemas.openxmlformats.org/officeDocument/2006/relationships/table" Target="../tables/table20.xml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hyperlink" Target="../../../../:f:/g/personal/robert_tekna_com_au/EtLWhJq-ytZAtFz_DkbuaO0BegMEmReh6DlKYtCTAxJXNQ?e=JDlw89" TargetMode="External"/><Relationship Id="rId1" Type="http://schemas.openxmlformats.org/officeDocument/2006/relationships/hyperlink" Target="../../../../:b:/g/personal/robert_tekna_com_au/EQjDTwPFR8NHkUwQXEOyPd4B65Lku3jF4SSlwVduVutN4g?e=HANiIg" TargetMode="External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hyperlink" Target="Corporate%20File/Team%20Harder%20Group/Gen2612" TargetMode="External"/><Relationship Id="rId1" Type="http://schemas.openxmlformats.org/officeDocument/2006/relationships/hyperlink" Target="../../../../:b:/g/personal/robert_tekna_com_au/EeN8kGpxT79Ogy0lTrlB2pYBKl3H_K5pERPE_byPvv3xSQ?e=AMGcfS" TargetMode="External"/><Relationship Id="rId6" Type="http://schemas.openxmlformats.org/officeDocument/2006/relationships/table" Target="../tables/table28.xml"/><Relationship Id="rId5" Type="http://schemas.openxmlformats.org/officeDocument/2006/relationships/table" Target="../tables/table27.xml"/><Relationship Id="rId4" Type="http://schemas.openxmlformats.org/officeDocument/2006/relationships/table" Target="../tables/table2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hyperlink" Target="../../../../:f:/g/personal/robert_tekna_com_au/EhAW8N33O8lBjf2J3aCEhN4Bmja-jsJRDES1aSlImQsYaA?e=GUP60u" TargetMode="External"/><Relationship Id="rId5" Type="http://schemas.openxmlformats.org/officeDocument/2006/relationships/table" Target="../tables/table32.xml"/><Relationship Id="rId4" Type="http://schemas.openxmlformats.org/officeDocument/2006/relationships/table" Target="../tables/table3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table" Target="../tables/table33.xml"/><Relationship Id="rId4" Type="http://schemas.openxmlformats.org/officeDocument/2006/relationships/table" Target="../tables/table3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hyperlink" Target="../../../../:b:/g/personal/robert_tekna_com_au/EVg6BP2KRstMtKt-QQQJ3a8BDq4msxWoMj7U963Wf3mRkA?e=D1BT2b" TargetMode="External"/><Relationship Id="rId1" Type="http://schemas.openxmlformats.org/officeDocument/2006/relationships/hyperlink" Target="Corporate%20File/Tekna%20Group/Tekna%20Homes" TargetMode="External"/><Relationship Id="rId6" Type="http://schemas.openxmlformats.org/officeDocument/2006/relationships/table" Target="../tables/table40.xml"/><Relationship Id="rId5" Type="http://schemas.openxmlformats.org/officeDocument/2006/relationships/table" Target="../tables/table39.xml"/><Relationship Id="rId4" Type="http://schemas.openxmlformats.org/officeDocument/2006/relationships/table" Target="../tables/table3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hyperlink" Target="../../../../:f:/g/personal/robert_tekna_com_au/EmWm8fR-k65PocAFzruwR8UB73V4BGZxwA4IKP7ABtg2JQ?e=s9bMVJ" TargetMode="External"/><Relationship Id="rId1" Type="http://schemas.openxmlformats.org/officeDocument/2006/relationships/hyperlink" Target="Corporate%20File/Tekna%20Group/Tekna%20Drafting/Constitution/Constitution%20TD.pdf" TargetMode="External"/><Relationship Id="rId6" Type="http://schemas.openxmlformats.org/officeDocument/2006/relationships/table" Target="../tables/table44.xml"/><Relationship Id="rId5" Type="http://schemas.openxmlformats.org/officeDocument/2006/relationships/table" Target="../tables/table43.xml"/><Relationship Id="rId4" Type="http://schemas.openxmlformats.org/officeDocument/2006/relationships/table" Target="../tables/table42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8.xml"/><Relationship Id="rId3" Type="http://schemas.openxmlformats.org/officeDocument/2006/relationships/hyperlink" Target="../../../../../my?listurl=%2Fpersonal%2Frobert%5Ftekna%5Fcom%5Fau%2FDocuments&amp;remoteItem=%7B%22mp%22%3A%7B%22webAbsoluteUrl%22%3A%22https%3A%2F%2Fgotekna%2Dmy%2Esharepoint%2Ecom%2Fpersonal%2Frachel%5Ftekna%5Fcom%5Fau%22%2C%22listFullUrl%22%3A%22https%3A%2F%2Fgotekna%2Dmy%2Esharepoint%2Ecom%2Fpersonal%2Frachel%5Ftekna%5Fcom%5Fau%2FDocuments%22%2C%22rootFolder%22%3A%22%2Fpersonal%2Frachel%5Ftekna%5Fcom%5Fau%2FDocuments%2FAccounts%20%2D%20Internal%22%7D%2C%22rsi%22%3A%7B%22listFullUrl%22%3A%22https%3A%2F%2Fgotekna%2Dmy%2Esharepoint%2Ecom%2Fpersonal%2Frobert%5Ftekna%5Fcom%5Fau%2FDocuments%22%2C%22rootFolder%22%3A%22%2Fpersonal%2Frobert%5Ftekna%5Fcom%5Fau%2FDocuments%2FAccounts%20%2D%20Internal%2FCorporate%20File%2FTekna%20Group%2FTekna%20Admin%2FGeneral%22%2C%22webAbsoluteUrl%22%3A%22https%3A%2F%2Fgotekna%2Dmy%2Esharepoint%2Ecom%2Fpersonal%2Frobert%5Ftekna%5Fcom%5Fau%22%7D%7D&amp;viewid=fd278aea%2Df16b%2D4bd9%2Da067%2Dd3319a1487e8&amp;id=%2Fpersonal%2Frobert%5Ftekna%5Fcom%5Fau%2FDocuments%2FAccounts%20%2D%20Internal%2FCorporate%20File%2FTekna%20Group%2FTekna%20Admin%2FGeneral%2FConsolidated%20Tax%20Return%20FY24%20Tekna%20Admin%2Epdf&amp;parent=%2Fpersonal%2Frobert%5Ftekna%5Fcom%5Fau%2FDocuments%2FAccounts%20%2D%20Internal%2FCorporate%20File%2FTekna%20Group%2FTekna%20Admin%2FGeneral&amp;parentview=0" TargetMode="External"/><Relationship Id="rId7" Type="http://schemas.openxmlformats.org/officeDocument/2006/relationships/table" Target="../tables/table47.xml"/><Relationship Id="rId2" Type="http://schemas.openxmlformats.org/officeDocument/2006/relationships/hyperlink" Target="Corporate%20File/Tekna%20Group/Tekna%20Admin/Constitution/Constitution%20TA.pdf" TargetMode="External"/><Relationship Id="rId1" Type="http://schemas.openxmlformats.org/officeDocument/2006/relationships/hyperlink" Target="Corporate%20File/Tekna%20Group/Tekna%20Admin" TargetMode="External"/><Relationship Id="rId6" Type="http://schemas.openxmlformats.org/officeDocument/2006/relationships/table" Target="../tables/table46.xml"/><Relationship Id="rId5" Type="http://schemas.openxmlformats.org/officeDocument/2006/relationships/table" Target="../tables/table45.xml"/><Relationship Id="rId4" Type="http://schemas.openxmlformats.org/officeDocument/2006/relationships/hyperlink" Target="../../../../../my?listurl=%2Fpersonal%2Frobert%5Ftekna%5Fcom%5Fau%2FDocuments&amp;remoteItem=%7B%22mp%22%3A%7B%22webAbsoluteUrl%22%3A%22https%3A%2F%2Fgotekna%2Dmy%2Esharepoint%2Ecom%2Fpersonal%2Frachel%5Ftekna%5Fcom%5Fau%22%2C%22listFullUrl%22%3A%22https%3A%2F%2Fgotekna%2Dmy%2Esharepoint%2Ecom%2Fpersonal%2Frachel%5Ftekna%5Fcom%5Fau%2FDocuments%22%2C%22rootFolder%22%3A%22%2Fpersonal%2Frachel%5Ftekna%5Fcom%5Fau%2FDocuments%2FAccounts%20%2D%20Internal%22%7D%2C%22rsi%22%3A%7B%22listFullUrl%22%3A%22https%3A%2F%2Fgotekna%2Dmy%2Esharepoint%2Ecom%2Fpersonal%2Frobert%5Ftekna%5Fcom%5Fau%2FDocuments%22%2C%22rootFolder%22%3A%22%2Fpersonal%2Frobert%5Ftekna%5Fcom%5Fau%2FDocuments%2FAccounts%20%2D%20Internal%2FCorporate%20File%2FTekna%20Group%2FTekna%20Admin%2FGeneral%22%2C%22webAbsoluteUrl%22%3A%22https%3A%2F%2Fgotekna%2Dmy%2Esharepoint%2Ecom%2Fpersonal%2Frobert%5Ftekna%5Fcom%5Fau%22%7D%7D&amp;viewid=fd278aea%2Df16b%2D4bd9%2Da067%2Dd3319a1487e8&amp;id=%2Fpersonal%2Frobert%5Ftekna%5Fcom%5Fau%2FDocuments%2FAccounts%20%2D%20Internal%2FCorporate%20File%2FTekna%20Group%2FTekna%20Admin%2FGeneral%2FEOY%20ASIC%20FY24%20TA%2Epdf&amp;parent=%2Fpersonal%2Frobert%5Ftekna%5Fcom%5Fau%2FDocuments%2FAccounts%20%2D%20Internal%2FCorporate%20File%2FTekna%20Group%2FTekna%20Admin%2FGeneral&amp;parentview=0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1.xml"/><Relationship Id="rId3" Type="http://schemas.openxmlformats.org/officeDocument/2006/relationships/hyperlink" Target="../../../../../my?listurl=%2Fpersonal%2Frobert%5Ftekna%5Fcom%5Fau%2FDocuments&amp;remoteItem=%7B%22mp%22%3A%7B%22webAbsoluteUrl%22%3A%22https%3A%2F%2Fgotekna%2Dmy%2Esharepoint%2Ecom%2Fpersonal%2Frachel%5Ftekna%5Fcom%5Fau%22%2C%22listFullUrl%22%3A%22https%3A%2F%2Fgotekna%2Dmy%2Esharepoint%2Ecom%2Fpersonal%2Frachel%5Ftekna%5Fcom%5Fau%2FDocuments%22%2C%22rootFolder%22%3A%22%2Fpersonal%2Frachel%5Ftekna%5Fcom%5Fau%2FDocuments%2FAccounts%20%2D%20Internal%22%7D%2C%22rsi%22%3A%7B%22listFullUrl%22%3A%22https%3A%2F%2Fgotekna%2Dmy%2Esharepoint%2Ecom%2Fpersonal%2Frobert%5Ftekna%5Fcom%5Fau%2FDocuments%22%2C%22rootFolder%22%3A%22%2Fpersonal%2Frobert%5Ftekna%5Fcom%5Fau%2FDocuments%2FAccounts%20%2D%20Internal%2FCorporate%20File%2FTekna%20Group%2FTekna%2FGeneral%22%2C%22webAbsoluteUrl%22%3A%22https%3A%2F%2Fgotekna%2Dmy%2Esharepoint%2Ecom%2Fpersonal%2Frobert%5Ftekna%5Fcom%5Fau%22%7D%7D&amp;viewid=fd278aea%2Df16b%2D4bd9%2Da067%2Dd3319a1487e8&amp;id=%2Fpersonal%2Frobert%5Ftekna%5Fcom%5Fau%2FDocuments%2FAccounts%20%2D%20Internal%2FCorporate%20File%2FTekna%20Group%2FTekna%2FGeneral%2FConsolidated%20Tax%20Return%20FY22%20Tekna%20Group%2Epdf&amp;parent=%2Fpersonal%2Frobert%5Ftekna%5Fcom%5Fau%2FDocuments%2FAccounts%20%2D%20Internal%2FCorporate%20File%2FTekna%20Group%2FTekna%2FGeneral&amp;parentview=0" TargetMode="External"/><Relationship Id="rId7" Type="http://schemas.openxmlformats.org/officeDocument/2006/relationships/table" Target="../tables/table50.xml"/><Relationship Id="rId2" Type="http://schemas.openxmlformats.org/officeDocument/2006/relationships/hyperlink" Target="Corporate%20File/Tekna%20Group/Tekna/Constitution/Constitution%20Tekna.pdf" TargetMode="External"/><Relationship Id="rId1" Type="http://schemas.openxmlformats.org/officeDocument/2006/relationships/hyperlink" Target="../../../../:f:/g/personal/robert_tekna_com_au/ErOfEaaRbjNBgA-DmlPubOsBBorEJa6JTRHD-g8RpxWEXQ?e=8OI2tL" TargetMode="External"/><Relationship Id="rId6" Type="http://schemas.openxmlformats.org/officeDocument/2006/relationships/table" Target="../tables/table49.xml"/><Relationship Id="rId5" Type="http://schemas.openxmlformats.org/officeDocument/2006/relationships/hyperlink" Target="../../../../../my?listurl=%2Fpersonal%2Frobert%5Ftekna%5Fcom%5Fau%2FDocuments&amp;remoteItem=%7B%22mp%22%3A%7B%22webAbsoluteUrl%22%3A%22https%3A%2F%2Fgotekna%2Dmy%2Esharepoint%2Ecom%2Fpersonal%2Frachel%5Ftekna%5Fcom%5Fau%22%2C%22listFullUrl%22%3A%22https%3A%2F%2Fgotekna%2Dmy%2Esharepoint%2Ecom%2Fpersonal%2Frachel%5Ftekna%5Fcom%5Fau%2FDocuments%22%2C%22rootFolder%22%3A%22%2Fpersonal%2Frachel%5Ftekna%5Fcom%5Fau%2FDocuments%2FAccounts%20%2D%20Internal%22%7D%2C%22rsi%22%3A%7B%22listFullUrl%22%3A%22https%3A%2F%2Fgotekna%2Dmy%2Esharepoint%2Ecom%2Fpersonal%2Frobert%5Ftekna%5Fcom%5Fau%2FDocuments%22%2C%22rootFolder%22%3A%22%2Fpersonal%2Frobert%5Ftekna%5Fcom%5Fau%2FDocuments%2FAccounts%20%2D%20Internal%2FCorporate%20File%2FTekna%20Group%2FTekna%2FGeneral%22%2C%22webAbsoluteUrl%22%3A%22https%3A%2F%2Fgotekna%2Dmy%2Esharepoint%2Ecom%2Fpersonal%2Frobert%5Ftekna%5Fcom%5Fau%22%7D%7D&amp;viewid=fd278aea%2Df16b%2D4bd9%2Da067%2Dd3319a1487e8&amp;id=%2Fpersonal%2Frobert%5Ftekna%5Fcom%5Fau%2FDocuments%2FAccounts%20%2D%20Internal%2FCorporate%20File%2FTekna%20Group%2FTekna%2FGeneral%2FConsolidated%20Tax%20Return%20FY24%20Tekna%20Group%2Epdf&amp;parent=%2Fpersonal%2Frobert%5Ftekna%5Fcom%5Fau%2FDocuments%2FAccounts%20%2D%20Internal%2FCorporate%20File%2FTekna%20Group%2FTekna%2FGeneral&amp;parentview=0" TargetMode="External"/><Relationship Id="rId4" Type="http://schemas.openxmlformats.org/officeDocument/2006/relationships/hyperlink" Target="../../../../../my?listurl=%2Fpersonal%2Frobert%5Ftekna%5Fcom%5Fau%2FDocuments&amp;remoteItem=%7B%22mp%22%3A%7B%22webAbsoluteUrl%22%3A%22https%3A%2F%2Fgotekna%2Dmy%2Esharepoint%2Ecom%2Fpersonal%2Frachel%5Ftekna%5Fcom%5Fau%22%2C%22listFullUrl%22%3A%22https%3A%2F%2Fgotekna%2Dmy%2Esharepoint%2Ecom%2Fpersonal%2Frachel%5Ftekna%5Fcom%5Fau%2FDocuments%22%2C%22rootFolder%22%3A%22%2Fpersonal%2Frachel%5Ftekna%5Fcom%5Fau%2FDocuments%2FAccounts%20%2D%20Internal%22%7D%2C%22rsi%22%3A%7B%22listFullUrl%22%3A%22https%3A%2F%2Fgotekna%2Dmy%2Esharepoint%2Ecom%2Fpersonal%2Frobert%5Ftekna%5Fcom%5Fau%2FDocuments%22%2C%22rootFolder%22%3A%22%2Fpersonal%2Frobert%5Ftekna%5Fcom%5Fau%2FDocuments%2FAccounts%20%2D%20Internal%2FCorporate%20File%2FTekna%20Group%2FTekna%2FGeneral%22%2C%22webAbsoluteUrl%22%3A%22https%3A%2F%2Fgotekna%2Dmy%2Esharepoint%2Ecom%2Fpersonal%2Frobert%5Ftekna%5Fcom%5Fau%22%7D%7D&amp;viewid=fd278aea%2Df16b%2D4bd9%2Da067%2Dd3319a1487e8&amp;id=%2Fpersonal%2Frobert%5Ftekna%5Fcom%5Fau%2FDocuments%2FAccounts%20%2D%20Internal%2FCorporate%20File%2FTekna%20Group%2FTekna%2FGeneral%2FConsolidated%20Tax%20Return%20FY23%20Tekna%20Group%2Epdf&amp;parent=%2Fpersonal%2Frobert%5Ftekna%5Fcom%5Fau%2FDocuments%2FAccounts%20%2D%20Internal%2FCorporate%20File%2FTekna%20Group%2FTekna%2FGeneral&amp;parentview=0" TargetMode="External"/><Relationship Id="rId9" Type="http://schemas.openxmlformats.org/officeDocument/2006/relationships/table" Target="../tables/table5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4.xml"/><Relationship Id="rId2" Type="http://schemas.openxmlformats.org/officeDocument/2006/relationships/table" Target="../tables/table53.xml"/><Relationship Id="rId1" Type="http://schemas.openxmlformats.org/officeDocument/2006/relationships/hyperlink" Target="../../../../:f:/g/personal/robert_tekna_com_au/Eo6F_lWzhNhHoFvnUCl8mGsBlTRUM99Mv3AAQmM9bzmaXg?e=Q4QJKE" TargetMode="External"/><Relationship Id="rId5" Type="http://schemas.openxmlformats.org/officeDocument/2006/relationships/table" Target="../tables/table56.xml"/><Relationship Id="rId4" Type="http://schemas.openxmlformats.org/officeDocument/2006/relationships/table" Target="../tables/table5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2" Type="http://schemas.openxmlformats.org/officeDocument/2006/relationships/hyperlink" Target="Corporate%20File/The%20Promise%20Group/The%20Promise%20QLD/Constitution/Constituition%20-%20TPQ.pdf" TargetMode="External"/><Relationship Id="rId1" Type="http://schemas.openxmlformats.org/officeDocument/2006/relationships/hyperlink" Target="../../../../:f:/g/personal/robert_tekna_com_au/EpX7tfChDDNEtgKLkpzvhngB1epJLTVt_p4ps5gVaY8qhw?e=IklQcf" TargetMode="External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2" Type="http://schemas.openxmlformats.org/officeDocument/2006/relationships/table" Target="../tables/table62.xml"/><Relationship Id="rId1" Type="http://schemas.openxmlformats.org/officeDocument/2006/relationships/table" Target="../tables/table61.xml"/><Relationship Id="rId4" Type="http://schemas.openxmlformats.org/officeDocument/2006/relationships/table" Target="../tables/table64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5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rachel@tekna.com.au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multiplace.com.au" TargetMode="External"/><Relationship Id="rId1" Type="http://schemas.openxmlformats.org/officeDocument/2006/relationships/hyperlink" Target="mailto:david@multiplace.com.au" TargetMode="Externa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hyperlink" Target="http://abr.business.gov.au/Search.aspx?SearchText=34%20658%20462%20732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http://abr.business.gov.au/Search.aspx?SearchText=43%20658%20462%20394" TargetMode="External"/><Relationship Id="rId1" Type="http://schemas.openxmlformats.org/officeDocument/2006/relationships/hyperlink" Target="http://abr.business.gov.au/Search.aspx?SearchText=96%20159%20565%20849" TargetMode="External"/><Relationship Id="rId6" Type="http://schemas.openxmlformats.org/officeDocument/2006/relationships/hyperlink" Target="mailto:andrew@tekna.com.au" TargetMode="External"/><Relationship Id="rId5" Type="http://schemas.openxmlformats.org/officeDocument/2006/relationships/hyperlink" Target="mailto:andrew@tekna.com.au" TargetMode="External"/><Relationship Id="rId4" Type="http://schemas.openxmlformats.org/officeDocument/2006/relationships/hyperlink" Target="mailto:rachel@tekna.com.au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hyperlink" Target="http://abr.business.gov.au/Search.aspx?SearchText=59%20092%20659%20688" TargetMode="External"/><Relationship Id="rId2" Type="http://schemas.openxmlformats.org/officeDocument/2006/relationships/hyperlink" Target="http://abr.business.gov.au/Search.aspx?SearchText=34%20658%20602%20478" TargetMode="External"/><Relationship Id="rId1" Type="http://schemas.openxmlformats.org/officeDocument/2006/relationships/hyperlink" Target="http://abr.business.gov.au/Search.aspx?SearchText=47%20658%20463%20659" TargetMode="Externa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mailto:rach@100xbestlife.com" TargetMode="Externa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hyperlink" Target="mailto:dianne.a.thompson@aon.com" TargetMode="External"/><Relationship Id="rId2" Type="http://schemas.openxmlformats.org/officeDocument/2006/relationships/hyperlink" Target="mailto:becky.maddison@austcover.com.au" TargetMode="External"/><Relationship Id="rId1" Type="http://schemas.openxmlformats.org/officeDocument/2006/relationships/hyperlink" Target="mailto:dianne.a.thompson@aon.com" TargetMode="Externa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hyperlink" Target="mailto:hello@joii.org.au" TargetMode="External"/><Relationship Id="rId2" Type="http://schemas.openxmlformats.org/officeDocument/2006/relationships/hyperlink" Target="http://abr.business.gov.au/Search.aspx?SearchText=63%20605%20103%20615" TargetMode="External"/><Relationship Id="rId1" Type="http://schemas.openxmlformats.org/officeDocument/2006/relationships/hyperlink" Target="http://abr.business.gov.au/Search.aspx?SearchText=95%20142%20372%20245" TargetMode="Externa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mailto:hello@joii.org.au" TargetMode="Externa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hyperlink" Target="http://abr.business.gov.au/Search.aspx?SearchText=34%20658%20462%20732" TargetMode="External"/><Relationship Id="rId2" Type="http://schemas.openxmlformats.org/officeDocument/2006/relationships/hyperlink" Target="http://abr.business.gov.au/Search.aspx?SearchText=43%20658%20462%20394" TargetMode="External"/><Relationship Id="rId1" Type="http://schemas.openxmlformats.org/officeDocument/2006/relationships/hyperlink" Target="http://abr.business.gov.au/Search.aspx?SearchText=96%20159%20565%2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BA7F-D218-4A3D-9D21-A1F0DAE1CF05}">
  <dimension ref="A1:U11"/>
  <sheetViews>
    <sheetView workbookViewId="0">
      <pane ySplit="1" topLeftCell="A2" activePane="bottomLeft" state="frozen"/>
      <selection pane="bottomLeft" activeCell="D3" sqref="D3"/>
    </sheetView>
  </sheetViews>
  <sheetFormatPr defaultColWidth="9.15234375" defaultRowHeight="14.6"/>
  <cols>
    <col min="1" max="1" width="30.3046875" style="44" bestFit="1" customWidth="1"/>
    <col min="2" max="2" width="16" style="44" bestFit="1" customWidth="1"/>
    <col min="3" max="3" width="16" style="44" customWidth="1"/>
    <col min="4" max="4" width="57.3046875" style="14" bestFit="1" customWidth="1"/>
    <col min="5" max="5" width="17.15234375" style="28" bestFit="1" customWidth="1"/>
    <col min="6" max="6" width="20.15234375" style="28" bestFit="1" customWidth="1"/>
    <col min="7" max="7" width="12" style="44" bestFit="1" customWidth="1"/>
    <col min="8" max="8" width="26.15234375" style="46" bestFit="1" customWidth="1"/>
    <col min="9" max="9" width="12.15234375" style="44" customWidth="1"/>
    <col min="10" max="10" width="16.69140625" style="44" customWidth="1"/>
    <col min="11" max="11" width="16" style="44" customWidth="1"/>
    <col min="12" max="12" width="17.69140625" style="44" customWidth="1"/>
    <col min="13" max="13" width="14.15234375" style="44" customWidth="1"/>
    <col min="14" max="14" width="18.3046875" style="47" bestFit="1" customWidth="1"/>
    <col min="15" max="15" width="23.3046875" style="14" bestFit="1" customWidth="1"/>
    <col min="16" max="16" width="14.15234375" style="48" bestFit="1" customWidth="1"/>
    <col min="17" max="17" width="17.69140625" style="28" bestFit="1" customWidth="1"/>
    <col min="18" max="18" width="19.15234375" style="44" bestFit="1" customWidth="1"/>
    <col min="19" max="19" width="57.3046875" style="44" bestFit="1" customWidth="1"/>
    <col min="20" max="20" width="55.15234375" style="49" bestFit="1" customWidth="1"/>
    <col min="21" max="21" width="55.15234375" style="14" bestFit="1" customWidth="1"/>
    <col min="22" max="24" width="9.15234375" style="14"/>
    <col min="25" max="25" width="31.69140625" style="14" bestFit="1" customWidth="1"/>
    <col min="26" max="16384" width="9.15234375" style="14"/>
  </cols>
  <sheetData>
    <row r="1" spans="1:21" ht="14.8" customHeight="1" thickBot="1">
      <c r="A1" s="1" t="s">
        <v>0</v>
      </c>
      <c r="B1" s="2"/>
      <c r="C1" s="113"/>
      <c r="D1" s="3" t="s">
        <v>1</v>
      </c>
      <c r="E1" s="4" t="s">
        <v>2</v>
      </c>
      <c r="F1" s="5" t="s">
        <v>3</v>
      </c>
      <c r="G1" s="6" t="s">
        <v>4</v>
      </c>
      <c r="H1" s="7" t="s">
        <v>5</v>
      </c>
      <c r="I1" s="6" t="s">
        <v>6</v>
      </c>
      <c r="J1" s="6" t="s">
        <v>7</v>
      </c>
      <c r="K1" s="8" t="s">
        <v>8</v>
      </c>
      <c r="L1" s="1" t="s">
        <v>9</v>
      </c>
      <c r="M1" s="2" t="s">
        <v>10</v>
      </c>
      <c r="N1" s="9" t="s">
        <v>11</v>
      </c>
      <c r="O1" s="10" t="s">
        <v>12</v>
      </c>
      <c r="P1" s="11" t="s">
        <v>13</v>
      </c>
      <c r="Q1" s="5" t="s">
        <v>14</v>
      </c>
      <c r="R1" s="6" t="s">
        <v>15</v>
      </c>
      <c r="S1" s="6" t="s">
        <v>16</v>
      </c>
      <c r="T1" s="1" t="s">
        <v>17</v>
      </c>
      <c r="U1" s="12" t="s">
        <v>18</v>
      </c>
    </row>
    <row r="2" spans="1:21" ht="14.8" customHeight="1">
      <c r="A2" s="64" t="s">
        <v>19</v>
      </c>
      <c r="B2" s="75" t="s">
        <v>20</v>
      </c>
      <c r="C2" s="114"/>
      <c r="D2" s="118" t="s">
        <v>21</v>
      </c>
      <c r="E2" s="65">
        <v>99406654</v>
      </c>
      <c r="F2" s="116" t="s">
        <v>22</v>
      </c>
      <c r="G2" s="74" t="s">
        <v>23</v>
      </c>
      <c r="H2" s="26" t="s">
        <v>24</v>
      </c>
      <c r="I2" s="16" t="s">
        <v>25</v>
      </c>
      <c r="J2" s="73" t="s">
        <v>26</v>
      </c>
      <c r="K2" s="16" t="s">
        <v>27</v>
      </c>
      <c r="L2" s="21" t="s">
        <v>28</v>
      </c>
      <c r="M2" s="16" t="s">
        <v>29</v>
      </c>
      <c r="N2" s="22">
        <v>44047</v>
      </c>
      <c r="O2" s="20" t="s">
        <v>30</v>
      </c>
      <c r="P2" s="23">
        <v>44294</v>
      </c>
      <c r="Q2" s="19">
        <v>0</v>
      </c>
      <c r="R2" s="16" t="s">
        <v>31</v>
      </c>
      <c r="S2" s="16"/>
      <c r="T2" s="24" t="s">
        <v>32</v>
      </c>
      <c r="U2" s="20" t="s">
        <v>33</v>
      </c>
    </row>
    <row r="3" spans="1:21">
      <c r="A3" s="15" t="s">
        <v>19</v>
      </c>
      <c r="B3" s="76" t="s">
        <v>34</v>
      </c>
      <c r="C3" s="76"/>
      <c r="D3" s="118" t="s">
        <v>35</v>
      </c>
      <c r="E3" s="65" t="s">
        <v>36</v>
      </c>
      <c r="F3" s="19"/>
      <c r="G3" s="74"/>
      <c r="H3" s="74"/>
      <c r="I3" s="16"/>
      <c r="J3" s="16"/>
      <c r="K3" s="16" t="s">
        <v>37</v>
      </c>
      <c r="L3" s="21" t="s">
        <v>38</v>
      </c>
      <c r="M3" s="16" t="s">
        <v>39</v>
      </c>
      <c r="N3" s="22">
        <v>44025</v>
      </c>
      <c r="O3" s="20" t="s">
        <v>40</v>
      </c>
      <c r="P3" s="23" t="s">
        <v>41</v>
      </c>
      <c r="Q3" s="19">
        <v>0</v>
      </c>
      <c r="R3" s="16">
        <v>100</v>
      </c>
      <c r="S3" s="16" t="s">
        <v>42</v>
      </c>
      <c r="T3" s="24" t="s">
        <v>32</v>
      </c>
      <c r="U3" s="20" t="s">
        <v>33</v>
      </c>
    </row>
    <row r="4" spans="1:21" ht="14.8" customHeight="1">
      <c r="A4" s="15" t="s">
        <v>19</v>
      </c>
      <c r="B4" s="76" t="s">
        <v>20</v>
      </c>
      <c r="C4" s="115"/>
      <c r="D4" s="120" t="s">
        <v>43</v>
      </c>
      <c r="E4" s="74">
        <v>72943215</v>
      </c>
      <c r="F4" s="116" t="s">
        <v>44</v>
      </c>
      <c r="G4" s="74" t="s">
        <v>23</v>
      </c>
      <c r="H4" s="26" t="s">
        <v>24</v>
      </c>
      <c r="I4" s="16" t="s">
        <v>25</v>
      </c>
      <c r="J4" s="73" t="s">
        <v>26</v>
      </c>
      <c r="K4" s="16" t="s">
        <v>45</v>
      </c>
      <c r="L4" s="21" t="s">
        <v>46</v>
      </c>
      <c r="M4" s="16" t="s">
        <v>47</v>
      </c>
      <c r="N4" s="22">
        <v>40240</v>
      </c>
      <c r="O4" s="20" t="s">
        <v>48</v>
      </c>
      <c r="P4" s="23">
        <v>44988</v>
      </c>
      <c r="Q4" s="19">
        <v>688</v>
      </c>
      <c r="R4" s="16">
        <v>100</v>
      </c>
      <c r="S4" s="16" t="s">
        <v>42</v>
      </c>
      <c r="T4" s="24" t="s">
        <v>32</v>
      </c>
      <c r="U4" s="20" t="s">
        <v>33</v>
      </c>
    </row>
    <row r="5" spans="1:21" ht="14.8" customHeight="1">
      <c r="A5" s="15" t="s">
        <v>19</v>
      </c>
      <c r="B5" s="76" t="s">
        <v>20</v>
      </c>
      <c r="C5" s="76"/>
      <c r="D5" s="118" t="s">
        <v>49</v>
      </c>
      <c r="E5" s="65" t="s">
        <v>36</v>
      </c>
      <c r="F5" s="65"/>
      <c r="G5" s="65"/>
      <c r="H5" s="26"/>
      <c r="I5" s="16"/>
      <c r="J5" s="16"/>
      <c r="K5" s="16" t="s">
        <v>50</v>
      </c>
      <c r="L5" s="21" t="s">
        <v>51</v>
      </c>
      <c r="M5" s="16" t="s">
        <v>52</v>
      </c>
      <c r="N5" s="22">
        <v>41066</v>
      </c>
      <c r="O5" s="20" t="s">
        <v>30</v>
      </c>
      <c r="P5" s="23">
        <v>42892</v>
      </c>
      <c r="Q5" s="19">
        <v>0</v>
      </c>
      <c r="R5" s="16" t="s">
        <v>31</v>
      </c>
      <c r="S5" s="16"/>
      <c r="T5" s="24" t="s">
        <v>53</v>
      </c>
      <c r="U5" s="20" t="s">
        <v>33</v>
      </c>
    </row>
    <row r="6" spans="1:21" ht="14.8" customHeight="1">
      <c r="A6" s="15" t="s">
        <v>19</v>
      </c>
      <c r="B6" s="76" t="s">
        <v>20</v>
      </c>
      <c r="C6" s="115" t="s">
        <v>54</v>
      </c>
      <c r="D6" s="20" t="s">
        <v>55</v>
      </c>
      <c r="E6" s="117">
        <v>40617621</v>
      </c>
      <c r="F6" s="116" t="s">
        <v>56</v>
      </c>
      <c r="G6" s="74" t="s">
        <v>23</v>
      </c>
      <c r="H6" s="26" t="s">
        <v>24</v>
      </c>
      <c r="I6" s="16" t="s">
        <v>25</v>
      </c>
      <c r="J6" s="73" t="s">
        <v>26</v>
      </c>
      <c r="K6" s="16" t="s">
        <v>57</v>
      </c>
      <c r="L6" s="21" t="s">
        <v>58</v>
      </c>
      <c r="M6" s="16" t="s">
        <v>59</v>
      </c>
      <c r="N6" s="22">
        <v>43414</v>
      </c>
      <c r="O6" s="20" t="s">
        <v>60</v>
      </c>
      <c r="P6" s="23">
        <v>44845</v>
      </c>
      <c r="Q6" s="19">
        <v>-82</v>
      </c>
      <c r="R6" s="16">
        <v>100</v>
      </c>
      <c r="S6" s="16" t="s">
        <v>42</v>
      </c>
      <c r="T6" s="24" t="s">
        <v>53</v>
      </c>
      <c r="U6" s="20" t="s">
        <v>33</v>
      </c>
    </row>
    <row r="7" spans="1:21" ht="14.8" customHeight="1">
      <c r="A7" s="15" t="s">
        <v>19</v>
      </c>
      <c r="B7" s="76" t="s">
        <v>20</v>
      </c>
      <c r="C7" s="115" t="s">
        <v>54</v>
      </c>
      <c r="D7" s="20" t="s">
        <v>61</v>
      </c>
      <c r="E7" s="65" t="s">
        <v>36</v>
      </c>
      <c r="F7" s="65"/>
      <c r="G7" s="65"/>
      <c r="H7" s="26"/>
      <c r="I7" s="16"/>
      <c r="J7" s="16"/>
      <c r="K7" s="16" t="s">
        <v>62</v>
      </c>
      <c r="L7" s="21" t="s">
        <v>63</v>
      </c>
      <c r="M7" s="16" t="s">
        <v>64</v>
      </c>
      <c r="N7" s="22">
        <v>41187</v>
      </c>
      <c r="O7" s="20" t="s">
        <v>65</v>
      </c>
      <c r="P7" s="23">
        <v>45204</v>
      </c>
      <c r="Q7" s="19">
        <v>276</v>
      </c>
      <c r="R7" s="16">
        <v>100</v>
      </c>
      <c r="S7" s="16" t="s">
        <v>49</v>
      </c>
      <c r="T7" s="24" t="s">
        <v>53</v>
      </c>
      <c r="U7" s="20" t="s">
        <v>33</v>
      </c>
    </row>
    <row r="9" spans="1:21" ht="14.8" customHeight="1">
      <c r="A9" s="15" t="s">
        <v>19</v>
      </c>
      <c r="B9" s="77" t="s">
        <v>66</v>
      </c>
      <c r="C9" s="115" t="s">
        <v>54</v>
      </c>
      <c r="D9" s="78" t="s">
        <v>67</v>
      </c>
      <c r="E9" s="79"/>
      <c r="F9" s="65"/>
      <c r="G9" s="65"/>
      <c r="H9" s="26"/>
      <c r="I9" s="16"/>
      <c r="J9" s="16"/>
      <c r="K9" s="16" t="s">
        <v>68</v>
      </c>
      <c r="L9" s="21" t="s">
        <v>69</v>
      </c>
      <c r="M9" s="16" t="s">
        <v>70</v>
      </c>
      <c r="N9" s="22" t="s">
        <v>71</v>
      </c>
      <c r="O9" s="20" t="s">
        <v>48</v>
      </c>
      <c r="P9" s="23">
        <v>44767</v>
      </c>
      <c r="Q9" s="19"/>
      <c r="R9" s="16">
        <v>100</v>
      </c>
      <c r="S9" s="16" t="s">
        <v>72</v>
      </c>
      <c r="T9" s="27" t="s">
        <v>53</v>
      </c>
      <c r="U9" s="20" t="s">
        <v>53</v>
      </c>
    </row>
    <row r="10" spans="1:21" ht="14.8" customHeight="1">
      <c r="A10" s="15" t="s">
        <v>19</v>
      </c>
      <c r="B10" s="77" t="s">
        <v>66</v>
      </c>
      <c r="C10" s="115" t="s">
        <v>73</v>
      </c>
      <c r="D10" s="78" t="s">
        <v>74</v>
      </c>
      <c r="E10" s="79"/>
      <c r="F10" s="65"/>
      <c r="G10" s="65"/>
      <c r="H10" s="26"/>
      <c r="I10" s="16"/>
      <c r="J10" s="16"/>
      <c r="K10" s="16" t="s">
        <v>75</v>
      </c>
      <c r="L10" s="21" t="s">
        <v>76</v>
      </c>
      <c r="M10" s="16" t="s">
        <v>77</v>
      </c>
      <c r="N10" s="22">
        <v>42095</v>
      </c>
      <c r="O10" s="20" t="s">
        <v>40</v>
      </c>
      <c r="P10" s="23">
        <v>45017</v>
      </c>
      <c r="Q10" s="19"/>
      <c r="R10" s="16">
        <v>100</v>
      </c>
      <c r="S10" s="16" t="s">
        <v>49</v>
      </c>
      <c r="T10" s="66" t="s">
        <v>53</v>
      </c>
      <c r="U10" s="20" t="s">
        <v>53</v>
      </c>
    </row>
    <row r="11" spans="1:21">
      <c r="A11" s="44" t="s">
        <v>78</v>
      </c>
    </row>
  </sheetData>
  <autoFilter ref="A1:U8" xr:uid="{E206B009-E6DB-46FA-ADA1-82F432ABF6C1}">
    <sortState xmlns:xlrd2="http://schemas.microsoft.com/office/spreadsheetml/2017/richdata2" ref="A2:U8">
      <sortCondition ref="A1:A8"/>
    </sortState>
  </autoFilter>
  <hyperlinks>
    <hyperlink ref="L3" r:id="rId1" xr:uid="{86DB723E-8C8A-4FA1-82D0-C0C601F75151}"/>
    <hyperlink ref="L4" r:id="rId2" xr:uid="{AA18AFB3-408F-44C5-9A9F-FD0835F2D719}"/>
    <hyperlink ref="L7" r:id="rId3" xr:uid="{E4F65E19-C77A-41FF-931E-0B97F83B1B7E}"/>
    <hyperlink ref="L6" r:id="rId4" xr:uid="{FAC1C49F-0A25-44C6-8AD8-6874DAA9C98D}"/>
    <hyperlink ref="L9" r:id="rId5" xr:uid="{70ABBAB6-691C-4B69-B42C-2E2820E39C96}"/>
    <hyperlink ref="L10" r:id="rId6" xr:uid="{F4336C60-8A51-4D90-9E61-CA7E86E4710A}"/>
    <hyperlink ref="J2" r:id="rId7" xr:uid="{E52119FC-D6A4-41FC-BF8E-C2A0F7CB6FCE}"/>
    <hyperlink ref="J4" r:id="rId8" xr:uid="{58C56A6D-E793-42FA-9DE7-E58130FC0B73}"/>
    <hyperlink ref="J6" r:id="rId9" xr:uid="{BC452D92-48C6-4EBC-B6E2-67AB00B25544}"/>
  </hyperlinks>
  <pageMargins left="0.7" right="0.7" top="0.75" bottom="0.75" header="0.3" footer="0.3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52C3A-2443-41B3-9F46-CE750C79C8D8}">
  <sheetPr filterMode="1"/>
  <dimension ref="A1:Z34"/>
  <sheetViews>
    <sheetView workbookViewId="0">
      <pane ySplit="1" topLeftCell="A5" activePane="bottomLeft" state="frozen"/>
      <selection pane="bottomLeft" activeCell="A10" sqref="A10:XFD10"/>
    </sheetView>
  </sheetViews>
  <sheetFormatPr defaultColWidth="9.15234375" defaultRowHeight="14.6"/>
  <cols>
    <col min="1" max="1" width="30.3046875" style="44" bestFit="1" customWidth="1"/>
    <col min="2" max="2" width="16" style="44" bestFit="1" customWidth="1"/>
    <col min="3" max="3" width="37.15234375" style="14" bestFit="1" customWidth="1"/>
    <col min="4" max="4" width="17.15234375" style="44" bestFit="1" customWidth="1"/>
    <col min="5" max="5" width="14.3046875" style="44" bestFit="1" customWidth="1"/>
    <col min="6" max="6" width="13.3046875" style="44" bestFit="1" customWidth="1"/>
    <col min="7" max="7" width="24.3046875" style="44" bestFit="1" customWidth="1"/>
    <col min="8" max="8" width="12" style="44" bestFit="1" customWidth="1"/>
    <col min="9" max="9" width="22.69140625" style="45" bestFit="1" customWidth="1"/>
    <col min="10" max="10" width="20" style="28" bestFit="1" customWidth="1"/>
    <col min="11" max="11" width="25.15234375" style="14" bestFit="1" customWidth="1"/>
    <col min="12" max="12" width="10.69140625" style="46" bestFit="1" customWidth="1"/>
    <col min="13" max="13" width="12.3046875" style="44" bestFit="1" customWidth="1"/>
    <col min="14" max="14" width="10.69140625" style="14" bestFit="1" customWidth="1"/>
    <col min="15" max="15" width="13.15234375" style="44" bestFit="1" customWidth="1"/>
    <col min="16" max="16" width="11.69140625" style="44" bestFit="1" customWidth="1"/>
    <col min="17" max="17" width="18.3046875" style="48" bestFit="1" customWidth="1"/>
    <col min="18" max="18" width="23.3046875" style="14" bestFit="1" customWidth="1"/>
    <col min="19" max="19" width="14.15234375" style="48" bestFit="1" customWidth="1"/>
    <col min="20" max="20" width="17.69140625" style="28" bestFit="1" customWidth="1"/>
    <col min="21" max="21" width="19.15234375" style="44" bestFit="1" customWidth="1"/>
    <col min="22" max="22" width="30" style="14" bestFit="1" customWidth="1"/>
    <col min="23" max="23" width="55.15234375" style="49" bestFit="1" customWidth="1"/>
    <col min="24" max="24" width="42.3046875" style="14" bestFit="1" customWidth="1"/>
    <col min="25" max="25" width="56.3046875" style="14" bestFit="1" customWidth="1"/>
    <col min="26" max="26" width="55" style="14" bestFit="1" customWidth="1"/>
    <col min="27" max="29" width="9.15234375" style="14"/>
    <col min="30" max="30" width="31.69140625" style="14" bestFit="1" customWidth="1"/>
    <col min="31" max="16384" width="9.15234375" style="14"/>
  </cols>
  <sheetData>
    <row r="1" spans="1:26" ht="14.8" customHeight="1">
      <c r="A1" s="1" t="s">
        <v>0</v>
      </c>
      <c r="B1" s="2"/>
      <c r="C1" s="3" t="s">
        <v>1</v>
      </c>
      <c r="D1" s="71" t="s">
        <v>2</v>
      </c>
      <c r="E1" s="71" t="s">
        <v>3</v>
      </c>
      <c r="F1" s="71" t="s">
        <v>4</v>
      </c>
      <c r="G1" s="71" t="s">
        <v>5</v>
      </c>
      <c r="H1" s="71" t="s">
        <v>6</v>
      </c>
      <c r="I1" s="4" t="s">
        <v>79</v>
      </c>
      <c r="J1" s="5" t="s">
        <v>80</v>
      </c>
      <c r="K1" s="6" t="s">
        <v>81</v>
      </c>
      <c r="L1" s="7" t="s">
        <v>82</v>
      </c>
      <c r="M1" s="6" t="s">
        <v>83</v>
      </c>
      <c r="N1" s="8" t="s">
        <v>8</v>
      </c>
      <c r="O1" s="1" t="s">
        <v>9</v>
      </c>
      <c r="P1" s="2" t="s">
        <v>10</v>
      </c>
      <c r="Q1" s="131" t="s">
        <v>11</v>
      </c>
      <c r="R1" s="10" t="s">
        <v>12</v>
      </c>
      <c r="S1" s="11" t="s">
        <v>13</v>
      </c>
      <c r="T1" s="5" t="s">
        <v>14</v>
      </c>
      <c r="U1" s="6" t="s">
        <v>15</v>
      </c>
      <c r="V1" s="6" t="s">
        <v>16</v>
      </c>
      <c r="W1" s="1" t="s">
        <v>17</v>
      </c>
      <c r="X1" s="12" t="s">
        <v>18</v>
      </c>
      <c r="Y1" s="6" t="s">
        <v>84</v>
      </c>
      <c r="Z1" s="13" t="s">
        <v>85</v>
      </c>
    </row>
    <row r="2" spans="1:26" hidden="1">
      <c r="A2" s="15">
        <v>485</v>
      </c>
      <c r="B2" s="16" t="s">
        <v>86</v>
      </c>
      <c r="C2" s="17" t="s">
        <v>87</v>
      </c>
      <c r="D2" s="17"/>
      <c r="E2" s="17"/>
      <c r="F2" s="17"/>
      <c r="G2" s="17"/>
      <c r="H2" s="17"/>
      <c r="I2" s="18"/>
      <c r="J2" s="19"/>
      <c r="K2" s="20"/>
      <c r="L2" s="20"/>
      <c r="M2" s="20"/>
      <c r="N2" s="16" t="s">
        <v>88</v>
      </c>
      <c r="O2" s="21" t="s">
        <v>89</v>
      </c>
      <c r="P2" s="16" t="s">
        <v>90</v>
      </c>
      <c r="Q2" s="22" t="s">
        <v>91</v>
      </c>
      <c r="R2" s="20" t="s">
        <v>92</v>
      </c>
      <c r="S2" s="23"/>
      <c r="T2" s="19"/>
      <c r="U2" s="16">
        <v>2</v>
      </c>
      <c r="V2" s="20" t="s">
        <v>93</v>
      </c>
      <c r="W2" s="24" t="s">
        <v>32</v>
      </c>
      <c r="X2" s="20" t="s">
        <v>33</v>
      </c>
      <c r="Y2" s="20" t="s">
        <v>94</v>
      </c>
      <c r="Z2" s="25" t="s">
        <v>95</v>
      </c>
    </row>
    <row r="3" spans="1:26" hidden="1">
      <c r="A3" s="15">
        <v>485</v>
      </c>
      <c r="B3" s="16" t="s">
        <v>34</v>
      </c>
      <c r="C3" s="20" t="s">
        <v>96</v>
      </c>
      <c r="D3" s="20"/>
      <c r="E3" s="20"/>
      <c r="F3" s="20"/>
      <c r="G3" s="20"/>
      <c r="H3" s="20"/>
      <c r="I3" s="18"/>
      <c r="J3" s="19"/>
      <c r="K3" s="20"/>
      <c r="L3" s="26"/>
      <c r="M3" s="16"/>
      <c r="N3" s="16" t="s">
        <v>97</v>
      </c>
      <c r="O3" s="16" t="s">
        <v>98</v>
      </c>
      <c r="P3" s="16"/>
      <c r="Q3" s="22" t="s">
        <v>99</v>
      </c>
      <c r="R3" s="20" t="s">
        <v>92</v>
      </c>
      <c r="S3" s="23" t="s">
        <v>100</v>
      </c>
      <c r="T3" s="19"/>
      <c r="U3" s="16">
        <v>2</v>
      </c>
      <c r="V3" s="20" t="s">
        <v>65</v>
      </c>
      <c r="W3" s="24" t="s">
        <v>32</v>
      </c>
      <c r="X3" s="20" t="s">
        <v>33</v>
      </c>
      <c r="Y3" s="20" t="s">
        <v>101</v>
      </c>
      <c r="Z3" s="25" t="s">
        <v>95</v>
      </c>
    </row>
    <row r="4" spans="1:26" hidden="1">
      <c r="A4" s="15" t="s">
        <v>102</v>
      </c>
      <c r="B4" s="16"/>
      <c r="C4" s="20" t="s">
        <v>103</v>
      </c>
      <c r="D4" s="20"/>
      <c r="E4" s="20"/>
      <c r="F4" s="20"/>
      <c r="G4" s="20"/>
      <c r="H4" s="20"/>
      <c r="I4" s="18" t="s">
        <v>104</v>
      </c>
      <c r="J4" s="19"/>
      <c r="K4" s="20"/>
      <c r="L4" s="26"/>
      <c r="M4" s="16"/>
      <c r="N4" s="20" t="s">
        <v>105</v>
      </c>
      <c r="O4" s="16"/>
      <c r="P4" s="16"/>
      <c r="Q4" s="22"/>
      <c r="R4" s="20"/>
      <c r="S4" s="23"/>
      <c r="T4" s="19"/>
      <c r="U4" s="16"/>
      <c r="V4" s="20"/>
      <c r="W4" s="27"/>
      <c r="X4" s="20"/>
      <c r="Y4" s="20"/>
      <c r="Z4" s="25"/>
    </row>
    <row r="5" spans="1:26" ht="29.15">
      <c r="A5" s="15" t="s">
        <v>106</v>
      </c>
      <c r="B5" s="16" t="s">
        <v>20</v>
      </c>
      <c r="C5" s="118" t="s">
        <v>107</v>
      </c>
      <c r="D5" s="16"/>
      <c r="E5" s="16"/>
      <c r="F5" s="16"/>
      <c r="G5" s="16"/>
      <c r="H5" s="16"/>
      <c r="I5" s="18"/>
      <c r="K5" s="14" t="s">
        <v>107</v>
      </c>
      <c r="L5" s="26">
        <v>84435</v>
      </c>
      <c r="M5" s="16">
        <v>767243550</v>
      </c>
      <c r="N5" s="16" t="s">
        <v>108</v>
      </c>
      <c r="O5" s="21" t="s">
        <v>109</v>
      </c>
      <c r="P5" s="16" t="s">
        <v>110</v>
      </c>
      <c r="Q5" s="23" t="s">
        <v>111</v>
      </c>
      <c r="R5" s="20" t="s">
        <v>112</v>
      </c>
      <c r="S5" s="23" t="s">
        <v>113</v>
      </c>
      <c r="T5" s="19">
        <v>0</v>
      </c>
      <c r="U5" s="16">
        <v>100</v>
      </c>
      <c r="V5" s="20" t="s">
        <v>114</v>
      </c>
      <c r="W5" s="24" t="s">
        <v>32</v>
      </c>
      <c r="X5" s="24" t="s">
        <v>115</v>
      </c>
      <c r="Y5" s="20" t="s">
        <v>116</v>
      </c>
      <c r="Z5" s="25"/>
    </row>
    <row r="6" spans="1:26" ht="29.15" hidden="1">
      <c r="A6" s="15" t="s">
        <v>106</v>
      </c>
      <c r="B6" s="16" t="s">
        <v>34</v>
      </c>
      <c r="C6" s="127" t="s">
        <v>117</v>
      </c>
      <c r="D6" s="72">
        <v>13631732</v>
      </c>
      <c r="E6" s="16" t="s">
        <v>118</v>
      </c>
      <c r="F6" s="16" t="s">
        <v>23</v>
      </c>
      <c r="G6" s="16" t="s">
        <v>5</v>
      </c>
      <c r="H6" s="16" t="s">
        <v>25</v>
      </c>
      <c r="I6" s="18"/>
      <c r="J6" s="19"/>
      <c r="K6" s="20"/>
      <c r="L6" s="26"/>
      <c r="M6" s="16"/>
      <c r="N6" s="128" t="s">
        <v>119</v>
      </c>
      <c r="O6" s="129" t="s">
        <v>120</v>
      </c>
      <c r="P6" s="128" t="s">
        <v>121</v>
      </c>
      <c r="Q6" s="132" t="s">
        <v>71</v>
      </c>
      <c r="R6" s="127" t="s">
        <v>112</v>
      </c>
      <c r="S6" s="23">
        <v>45132</v>
      </c>
      <c r="T6" s="19">
        <v>0</v>
      </c>
      <c r="U6" s="16">
        <v>100</v>
      </c>
      <c r="V6" s="20" t="s">
        <v>65</v>
      </c>
      <c r="W6" s="24" t="s">
        <v>32</v>
      </c>
      <c r="X6" s="24" t="s">
        <v>115</v>
      </c>
      <c r="Y6" s="20" t="s">
        <v>122</v>
      </c>
      <c r="Z6" s="25"/>
    </row>
    <row r="7" spans="1:26" hidden="1">
      <c r="A7" s="15" t="s">
        <v>106</v>
      </c>
      <c r="B7" s="16" t="s">
        <v>20</v>
      </c>
      <c r="C7" s="127" t="s">
        <v>123</v>
      </c>
      <c r="D7" s="16"/>
      <c r="E7" s="16"/>
      <c r="F7" s="16"/>
      <c r="G7" s="16"/>
      <c r="H7" s="16"/>
      <c r="I7" s="18"/>
      <c r="K7" s="29" t="s">
        <v>124</v>
      </c>
      <c r="L7" s="26" t="s">
        <v>125</v>
      </c>
      <c r="M7" s="16">
        <v>239941312</v>
      </c>
      <c r="N7" s="127"/>
      <c r="O7" s="129" t="s">
        <v>126</v>
      </c>
      <c r="P7" s="128" t="s">
        <v>127</v>
      </c>
      <c r="Q7" s="132"/>
      <c r="R7" s="127"/>
      <c r="S7" s="23"/>
      <c r="T7" s="19"/>
      <c r="U7" s="16"/>
      <c r="V7" s="20"/>
      <c r="W7" s="27"/>
      <c r="X7" s="20"/>
      <c r="Y7" s="20" t="s">
        <v>128</v>
      </c>
      <c r="Z7" s="25"/>
    </row>
    <row r="8" spans="1:26" ht="29.15">
      <c r="A8" s="15" t="s">
        <v>106</v>
      </c>
      <c r="B8" s="16"/>
      <c r="C8" s="118" t="s">
        <v>129</v>
      </c>
      <c r="D8" s="16"/>
      <c r="E8" s="16"/>
      <c r="F8" s="16"/>
      <c r="G8" s="16"/>
      <c r="H8" s="16"/>
      <c r="I8" s="18"/>
      <c r="J8" s="19"/>
      <c r="L8" s="26"/>
      <c r="M8" s="16"/>
      <c r="N8" s="16" t="s">
        <v>130</v>
      </c>
      <c r="O8" s="21" t="s">
        <v>131</v>
      </c>
      <c r="P8" s="16" t="s">
        <v>132</v>
      </c>
      <c r="Q8" s="23">
        <v>44716</v>
      </c>
      <c r="R8" s="20" t="s">
        <v>65</v>
      </c>
      <c r="S8" s="23">
        <v>45081</v>
      </c>
      <c r="T8" s="19">
        <v>0</v>
      </c>
      <c r="U8" s="16">
        <v>100</v>
      </c>
      <c r="V8" s="20" t="s">
        <v>65</v>
      </c>
      <c r="W8" s="24" t="s">
        <v>32</v>
      </c>
      <c r="X8" s="24" t="s">
        <v>115</v>
      </c>
      <c r="Y8" s="20"/>
      <c r="Z8" s="25"/>
    </row>
    <row r="9" spans="1:26">
      <c r="A9" s="15" t="s">
        <v>106</v>
      </c>
      <c r="B9" s="16" t="s">
        <v>20</v>
      </c>
      <c r="C9" s="118" t="s">
        <v>133</v>
      </c>
      <c r="D9" s="16"/>
      <c r="E9" s="16"/>
      <c r="F9" s="16"/>
      <c r="G9" s="16"/>
      <c r="H9" s="16"/>
      <c r="I9" s="18"/>
      <c r="K9" s="30" t="s">
        <v>134</v>
      </c>
      <c r="L9" s="26" t="s">
        <v>125</v>
      </c>
      <c r="M9" s="16">
        <v>959276787</v>
      </c>
      <c r="N9" s="16"/>
      <c r="O9" s="21" t="s">
        <v>135</v>
      </c>
      <c r="P9" s="16" t="s">
        <v>136</v>
      </c>
      <c r="Q9" s="23"/>
      <c r="R9" s="20"/>
      <c r="S9" s="23"/>
      <c r="T9" s="19"/>
      <c r="U9" s="16"/>
      <c r="V9" s="20"/>
      <c r="W9" s="27"/>
      <c r="X9" s="20"/>
      <c r="Y9" s="20" t="s">
        <v>128</v>
      </c>
      <c r="Z9" s="25"/>
    </row>
    <row r="10" spans="1:26" ht="14.25" hidden="1" customHeight="1">
      <c r="A10" s="15" t="s">
        <v>106</v>
      </c>
      <c r="B10" s="16" t="s">
        <v>20</v>
      </c>
      <c r="C10" s="127" t="s">
        <v>137</v>
      </c>
      <c r="D10" s="72">
        <v>82704061</v>
      </c>
      <c r="E10" s="73" t="s">
        <v>138</v>
      </c>
      <c r="F10" s="16" t="s">
        <v>23</v>
      </c>
      <c r="G10" s="16" t="s">
        <v>5</v>
      </c>
      <c r="H10" s="16" t="s">
        <v>25</v>
      </c>
      <c r="I10" s="18"/>
      <c r="J10" s="19"/>
      <c r="K10" s="31" t="s">
        <v>137</v>
      </c>
      <c r="L10" s="26" t="s">
        <v>125</v>
      </c>
      <c r="M10" s="16">
        <v>711090276</v>
      </c>
      <c r="N10" s="128" t="s">
        <v>139</v>
      </c>
      <c r="O10" s="130" t="s">
        <v>140</v>
      </c>
      <c r="P10" s="128" t="s">
        <v>141</v>
      </c>
      <c r="Q10" s="132">
        <v>40245</v>
      </c>
      <c r="R10" s="127" t="s">
        <v>112</v>
      </c>
      <c r="S10" s="23">
        <v>44993</v>
      </c>
      <c r="T10" s="19">
        <v>0</v>
      </c>
      <c r="U10" s="16">
        <v>100</v>
      </c>
      <c r="V10" s="20" t="s">
        <v>142</v>
      </c>
      <c r="W10" s="24" t="s">
        <v>32</v>
      </c>
      <c r="X10" s="24" t="s">
        <v>115</v>
      </c>
      <c r="Y10" s="20" t="s">
        <v>116</v>
      </c>
      <c r="Z10" s="25"/>
    </row>
    <row r="11" spans="1:26">
      <c r="A11" s="15" t="s">
        <v>106</v>
      </c>
      <c r="B11" s="16"/>
      <c r="C11" s="20" t="s">
        <v>92</v>
      </c>
      <c r="D11" s="16"/>
      <c r="E11" s="16"/>
      <c r="F11" s="16"/>
      <c r="G11" s="16"/>
      <c r="H11" s="16"/>
      <c r="I11" s="18"/>
      <c r="J11" s="19"/>
      <c r="K11" s="20"/>
      <c r="L11" s="26"/>
      <c r="M11" s="16"/>
      <c r="N11" s="20"/>
      <c r="O11" s="21" t="s">
        <v>143</v>
      </c>
      <c r="P11" s="33" t="s">
        <v>144</v>
      </c>
      <c r="Q11" s="23"/>
      <c r="R11" s="20"/>
      <c r="S11" s="23"/>
      <c r="T11" s="19"/>
      <c r="U11" s="16"/>
      <c r="V11" s="20"/>
      <c r="W11" s="27"/>
      <c r="X11" s="20"/>
      <c r="Y11" s="20"/>
      <c r="Z11" s="25"/>
    </row>
    <row r="12" spans="1:26">
      <c r="A12" s="15" t="s">
        <v>106</v>
      </c>
      <c r="B12" s="16"/>
      <c r="C12" s="20" t="s">
        <v>65</v>
      </c>
      <c r="D12" s="16"/>
      <c r="E12" s="16"/>
      <c r="F12" s="16"/>
      <c r="G12" s="16"/>
      <c r="H12" s="16"/>
      <c r="I12" s="18"/>
      <c r="J12" s="19"/>
      <c r="K12" s="20"/>
      <c r="L12" s="26"/>
      <c r="M12" s="16"/>
      <c r="N12" s="20"/>
      <c r="O12" s="16"/>
      <c r="P12" s="33" t="s">
        <v>145</v>
      </c>
      <c r="Q12" s="23"/>
      <c r="R12" s="20"/>
      <c r="S12" s="23"/>
      <c r="T12" s="19"/>
      <c r="U12" s="16"/>
      <c r="V12" s="20"/>
      <c r="W12" s="27"/>
      <c r="X12" s="20"/>
      <c r="Y12" s="20"/>
      <c r="Z12" s="25"/>
    </row>
    <row r="13" spans="1:26">
      <c r="A13" s="15" t="s">
        <v>106</v>
      </c>
      <c r="B13" s="16"/>
      <c r="C13" s="20" t="s">
        <v>146</v>
      </c>
      <c r="D13" s="16"/>
      <c r="E13" s="16"/>
      <c r="F13" s="16"/>
      <c r="G13" s="16"/>
      <c r="H13" s="16"/>
      <c r="I13" s="18"/>
      <c r="J13" s="19"/>
      <c r="K13" s="20"/>
      <c r="L13" s="26"/>
      <c r="M13" s="16"/>
      <c r="N13" s="20"/>
      <c r="O13" s="16"/>
      <c r="P13" s="16"/>
      <c r="Q13" s="23"/>
      <c r="R13" s="20"/>
      <c r="S13" s="23"/>
      <c r="T13" s="19"/>
      <c r="U13" s="16"/>
      <c r="V13" s="20"/>
      <c r="W13" s="27"/>
      <c r="X13" s="20"/>
      <c r="Y13" s="20"/>
      <c r="Z13" s="25"/>
    </row>
    <row r="14" spans="1:26" ht="13.5" customHeight="1">
      <c r="A14" s="15" t="s">
        <v>106</v>
      </c>
      <c r="B14" s="16"/>
      <c r="C14" s="20" t="s">
        <v>147</v>
      </c>
      <c r="D14" s="16"/>
      <c r="E14" s="16"/>
      <c r="F14" s="16"/>
      <c r="G14" s="16"/>
      <c r="H14" s="16"/>
      <c r="I14" s="18"/>
      <c r="J14" s="19"/>
      <c r="K14" s="20"/>
      <c r="L14" s="26"/>
      <c r="M14" s="16"/>
      <c r="N14" s="20"/>
      <c r="O14" s="16"/>
      <c r="P14" s="16"/>
      <c r="Q14" s="23"/>
      <c r="R14" s="20"/>
      <c r="S14" s="23"/>
      <c r="T14" s="19"/>
      <c r="U14" s="16"/>
      <c r="V14" s="20"/>
      <c r="W14" s="27"/>
      <c r="X14" s="20"/>
      <c r="Y14" s="20"/>
      <c r="Z14" s="25"/>
    </row>
    <row r="15" spans="1:26">
      <c r="A15" s="15" t="s">
        <v>106</v>
      </c>
      <c r="B15" s="16"/>
      <c r="C15" s="20" t="s">
        <v>148</v>
      </c>
      <c r="D15" s="16"/>
      <c r="E15" s="16"/>
      <c r="F15" s="16"/>
      <c r="G15" s="16"/>
      <c r="H15" s="16"/>
      <c r="I15" s="18"/>
      <c r="J15" s="19"/>
      <c r="K15" s="20"/>
      <c r="L15" s="26"/>
      <c r="M15" s="16"/>
      <c r="N15" s="20"/>
      <c r="O15" s="16"/>
      <c r="P15" s="16"/>
      <c r="Q15" s="23"/>
      <c r="R15" s="20"/>
      <c r="S15" s="23"/>
      <c r="T15" s="19"/>
      <c r="U15" s="16"/>
      <c r="V15" s="20"/>
      <c r="W15" s="24"/>
      <c r="X15" s="20"/>
      <c r="Y15" s="20"/>
      <c r="Z15" s="25"/>
    </row>
    <row r="16" spans="1:26" ht="14.8" customHeight="1">
      <c r="A16" s="15" t="s">
        <v>149</v>
      </c>
      <c r="B16" s="16"/>
      <c r="C16" s="118" t="s">
        <v>150</v>
      </c>
      <c r="D16" s="16"/>
      <c r="E16" s="16"/>
      <c r="F16" s="16"/>
      <c r="G16" s="16"/>
      <c r="H16" s="16"/>
      <c r="I16" s="18"/>
      <c r="J16" s="19"/>
      <c r="K16" s="20"/>
      <c r="L16" s="26"/>
      <c r="M16" s="16"/>
      <c r="N16" s="16" t="s">
        <v>151</v>
      </c>
      <c r="O16" s="16"/>
      <c r="P16" s="16"/>
      <c r="Q16" s="23" t="s">
        <v>152</v>
      </c>
      <c r="R16" s="20" t="s">
        <v>153</v>
      </c>
      <c r="S16" s="23">
        <v>45222</v>
      </c>
      <c r="T16" s="19">
        <v>620</v>
      </c>
      <c r="U16" s="16">
        <v>100</v>
      </c>
      <c r="V16" s="20" t="s">
        <v>154</v>
      </c>
      <c r="W16" s="24" t="s">
        <v>32</v>
      </c>
      <c r="X16" s="24" t="s">
        <v>32</v>
      </c>
      <c r="Y16" s="20"/>
      <c r="Z16" s="25"/>
    </row>
    <row r="17" spans="1:26">
      <c r="A17" s="34" t="s">
        <v>149</v>
      </c>
      <c r="B17" s="35" t="s">
        <v>155</v>
      </c>
      <c r="C17" s="120" t="s">
        <v>156</v>
      </c>
      <c r="D17" s="35"/>
      <c r="E17" s="35"/>
      <c r="F17" s="35"/>
      <c r="G17" s="35"/>
      <c r="H17" s="35"/>
      <c r="I17" s="37"/>
      <c r="J17" s="38"/>
      <c r="K17" s="36" t="s">
        <v>157</v>
      </c>
      <c r="L17" s="39" t="s">
        <v>158</v>
      </c>
      <c r="M17" s="35">
        <v>304656703</v>
      </c>
      <c r="N17" s="35"/>
      <c r="O17" s="40" t="s">
        <v>159</v>
      </c>
      <c r="P17" s="35" t="s">
        <v>160</v>
      </c>
      <c r="Q17" s="41"/>
      <c r="R17" s="36"/>
      <c r="S17" s="41"/>
      <c r="T17" s="38"/>
      <c r="U17" s="35"/>
      <c r="V17" s="36"/>
      <c r="W17" s="42"/>
      <c r="X17" s="36"/>
      <c r="Y17" s="36"/>
      <c r="Z17" s="43"/>
    </row>
    <row r="18" spans="1:26" ht="14.8" customHeight="1">
      <c r="A18" s="16" t="s">
        <v>149</v>
      </c>
      <c r="B18" s="16" t="s">
        <v>34</v>
      </c>
      <c r="C18" s="118" t="s">
        <v>161</v>
      </c>
      <c r="D18" s="16"/>
      <c r="E18" s="16"/>
      <c r="F18" s="16"/>
      <c r="G18" s="16"/>
      <c r="H18" s="16"/>
      <c r="I18" s="18"/>
      <c r="J18" s="19"/>
      <c r="K18" s="20" t="s">
        <v>161</v>
      </c>
      <c r="L18" s="26" t="s">
        <v>125</v>
      </c>
      <c r="M18" s="16">
        <v>259449309</v>
      </c>
      <c r="N18" s="16" t="s">
        <v>162</v>
      </c>
      <c r="O18" s="21" t="s">
        <v>163</v>
      </c>
      <c r="P18" s="16" t="s">
        <v>164</v>
      </c>
      <c r="Q18" s="23">
        <v>44662</v>
      </c>
      <c r="R18" s="20" t="s">
        <v>65</v>
      </c>
      <c r="S18" s="23">
        <v>45027</v>
      </c>
      <c r="T18" s="19">
        <v>0</v>
      </c>
      <c r="U18" s="16">
        <v>100</v>
      </c>
      <c r="V18" s="20" t="s">
        <v>165</v>
      </c>
      <c r="W18" s="24" t="s">
        <v>32</v>
      </c>
      <c r="X18" s="24" t="s">
        <v>115</v>
      </c>
      <c r="Y18" s="20" t="s">
        <v>166</v>
      </c>
      <c r="Z18" s="20"/>
    </row>
    <row r="19" spans="1:26" s="138" customFormat="1" ht="14.8" hidden="1" customHeight="1">
      <c r="A19" s="133" t="s">
        <v>149</v>
      </c>
      <c r="B19" s="133" t="s">
        <v>86</v>
      </c>
      <c r="C19" s="134" t="s">
        <v>167</v>
      </c>
      <c r="D19" s="16" t="s">
        <v>36</v>
      </c>
      <c r="E19" s="16"/>
      <c r="F19" s="16"/>
      <c r="G19" s="16"/>
      <c r="H19" s="16"/>
      <c r="I19" s="18"/>
      <c r="J19" s="19"/>
      <c r="K19" s="20" t="s">
        <v>161</v>
      </c>
      <c r="L19" s="26" t="s">
        <v>125</v>
      </c>
      <c r="M19" s="16">
        <v>259449309</v>
      </c>
      <c r="N19" s="133" t="s">
        <v>168</v>
      </c>
      <c r="O19" s="133" t="s">
        <v>169</v>
      </c>
      <c r="P19" s="133" t="s">
        <v>170</v>
      </c>
      <c r="Q19" s="135">
        <v>40393</v>
      </c>
      <c r="R19" s="134" t="s">
        <v>112</v>
      </c>
      <c r="S19" s="135">
        <v>45141</v>
      </c>
      <c r="T19" s="136">
        <v>0</v>
      </c>
      <c r="U19" s="133"/>
      <c r="V19" s="134"/>
      <c r="W19" s="137" t="s">
        <v>32</v>
      </c>
      <c r="X19" s="137" t="s">
        <v>115</v>
      </c>
      <c r="Y19" s="134" t="s">
        <v>171</v>
      </c>
      <c r="Z19" s="134"/>
    </row>
    <row r="20" spans="1:26" ht="14.8" hidden="1" customHeight="1">
      <c r="A20" s="16" t="s">
        <v>149</v>
      </c>
      <c r="B20" s="16" t="s">
        <v>86</v>
      </c>
      <c r="C20" s="127" t="s">
        <v>172</v>
      </c>
      <c r="D20" s="16" t="s">
        <v>36</v>
      </c>
      <c r="E20" s="86"/>
      <c r="F20" s="16"/>
      <c r="G20" s="16"/>
      <c r="H20" s="16"/>
      <c r="I20" s="18"/>
      <c r="J20" s="19"/>
      <c r="K20" s="20" t="s">
        <v>173</v>
      </c>
      <c r="L20" s="26" t="s">
        <v>125</v>
      </c>
      <c r="M20" s="16">
        <v>239209244</v>
      </c>
      <c r="N20" s="128" t="s">
        <v>174</v>
      </c>
      <c r="O20" s="129" t="s">
        <v>175</v>
      </c>
      <c r="P20" s="128" t="s">
        <v>176</v>
      </c>
      <c r="Q20" s="132">
        <v>42410</v>
      </c>
      <c r="R20" s="127" t="s">
        <v>65</v>
      </c>
      <c r="S20" s="23">
        <v>44967</v>
      </c>
      <c r="T20" s="19">
        <v>620</v>
      </c>
      <c r="U20" s="16">
        <v>4300000</v>
      </c>
      <c r="V20" s="20" t="s">
        <v>161</v>
      </c>
      <c r="W20" s="24" t="s">
        <v>32</v>
      </c>
      <c r="X20" s="24" t="s">
        <v>115</v>
      </c>
      <c r="Y20" s="20" t="s">
        <v>177</v>
      </c>
      <c r="Z20" s="20"/>
    </row>
    <row r="21" spans="1:26" ht="14.8" customHeight="1">
      <c r="A21" s="16" t="s">
        <v>149</v>
      </c>
      <c r="B21" s="76" t="s">
        <v>20</v>
      </c>
      <c r="C21" s="118" t="s">
        <v>178</v>
      </c>
      <c r="D21" s="117" t="s">
        <v>179</v>
      </c>
      <c r="E21" s="116" t="s">
        <v>180</v>
      </c>
      <c r="F21" s="74" t="s">
        <v>23</v>
      </c>
      <c r="G21" s="26" t="s">
        <v>24</v>
      </c>
      <c r="H21" s="16" t="s">
        <v>25</v>
      </c>
      <c r="I21" s="73" t="s">
        <v>26</v>
      </c>
      <c r="J21" s="16" t="s">
        <v>181</v>
      </c>
      <c r="K21" s="21" t="s">
        <v>182</v>
      </c>
      <c r="L21" s="16" t="s">
        <v>183</v>
      </c>
      <c r="M21" s="22">
        <v>36655</v>
      </c>
      <c r="N21" s="16" t="s">
        <v>181</v>
      </c>
      <c r="O21" s="21" t="s">
        <v>182</v>
      </c>
      <c r="P21" s="16" t="s">
        <v>183</v>
      </c>
      <c r="Q21" s="23">
        <v>36655</v>
      </c>
      <c r="R21" s="20" t="s">
        <v>65</v>
      </c>
      <c r="S21" s="23">
        <v>45055</v>
      </c>
      <c r="T21" s="19">
        <v>276</v>
      </c>
      <c r="U21" s="16">
        <v>1000</v>
      </c>
      <c r="V21" s="16" t="s">
        <v>49</v>
      </c>
      <c r="W21" s="24" t="s">
        <v>53</v>
      </c>
      <c r="X21" s="24" t="s">
        <v>115</v>
      </c>
    </row>
    <row r="22" spans="1:26" hidden="1">
      <c r="C22" s="127" t="s">
        <v>184</v>
      </c>
      <c r="N22" s="128" t="s">
        <v>185</v>
      </c>
      <c r="O22" s="128" t="s">
        <v>186</v>
      </c>
      <c r="P22" s="128" t="s">
        <v>187</v>
      </c>
      <c r="Q22" s="132" t="s">
        <v>188</v>
      </c>
      <c r="R22" s="127" t="s">
        <v>92</v>
      </c>
    </row>
    <row r="26" spans="1:26">
      <c r="P26" s="44" t="s">
        <v>117</v>
      </c>
    </row>
    <row r="32" spans="1:26">
      <c r="C32" s="14">
        <v>1432010</v>
      </c>
    </row>
    <row r="33" spans="3:3">
      <c r="C33" s="14">
        <v>142406</v>
      </c>
    </row>
    <row r="34" spans="3:3">
      <c r="C34" s="14">
        <f>C32+C33</f>
        <v>1574416</v>
      </c>
    </row>
  </sheetData>
  <autoFilter ref="A1:Z21" xr:uid="{E206B009-E6DB-46FA-ADA1-82F432ABF6C1}">
    <filterColumn colId="0">
      <filters>
        <filter val="Clement Group"/>
        <filter val="Team Harder"/>
        <filter val="Team Harder Super Fund GROUP"/>
      </filters>
    </filterColumn>
    <sortState xmlns:xlrd2="http://schemas.microsoft.com/office/spreadsheetml/2017/richdata2" ref="A2:Z21">
      <sortCondition ref="A1:A21"/>
    </sortState>
  </autoFilter>
  <hyperlinks>
    <hyperlink ref="O19" r:id="rId1" xr:uid="{321182C4-99E4-41A5-8EA1-2319FB34AB53}"/>
    <hyperlink ref="O6" r:id="rId2" xr:uid="{2F2658B0-7C4D-4B65-A563-F3D8F053444C}"/>
    <hyperlink ref="O20" r:id="rId3" xr:uid="{A47D5DAA-93D9-4A16-998A-C5141D5E9F87}"/>
    <hyperlink ref="O10" r:id="rId4" xr:uid="{C41429AD-2667-4BE1-8CA1-21F4E21F5C2C}"/>
    <hyperlink ref="O5" r:id="rId5" xr:uid="{EEEFEB4A-F363-45C1-9247-AC257D8F878C}"/>
    <hyperlink ref="O8" r:id="rId6" xr:uid="{2893CAE3-9253-40A2-9E49-DEA73AE5B416}"/>
    <hyperlink ref="E10" r:id="rId7" xr:uid="{86EC1E50-CA8B-48FE-B9DF-76468FFAC389}"/>
    <hyperlink ref="I21" r:id="rId8" xr:uid="{A879528A-5280-4984-AE8D-A02309137254}"/>
    <hyperlink ref="K21" r:id="rId9" xr:uid="{E5ACF40C-3B88-4D10-93DB-3C888DA16866}"/>
    <hyperlink ref="O21" r:id="rId10" xr:uid="{C4F15AC6-5E4A-41F3-978F-399DD3A9E84C}"/>
    <hyperlink ref="O22" r:id="rId11" xr:uid="{0384017D-A4A6-48DA-BED9-B6CE040FB519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7C28E-3D8D-4262-8F54-5C40F2EFFA62}">
  <dimension ref="A1:F1"/>
  <sheetViews>
    <sheetView workbookViewId="0">
      <selection activeCell="E1" sqref="E1"/>
    </sheetView>
  </sheetViews>
  <sheetFormatPr defaultColWidth="8.69140625" defaultRowHeight="14.6"/>
  <sheetData>
    <row r="1" spans="1:6">
      <c r="A1" t="s">
        <v>189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D0AE-2EAB-454A-80C7-12C3C2C9CF42}">
  <dimension ref="B1:Q128"/>
  <sheetViews>
    <sheetView zoomScale="120" zoomScaleNormal="120" workbookViewId="0">
      <selection activeCell="F22" sqref="F22"/>
    </sheetView>
  </sheetViews>
  <sheetFormatPr defaultColWidth="8.69140625" defaultRowHeight="14.6" outlineLevelRow="1"/>
  <cols>
    <col min="1" max="1" width="3.15234375" customWidth="1"/>
    <col min="2" max="2" width="30.15234375" bestFit="1" customWidth="1"/>
    <col min="3" max="3" width="46" bestFit="1" customWidth="1"/>
    <col min="4" max="4" width="15.3046875" bestFit="1" customWidth="1"/>
    <col min="5" max="5" width="20.69140625" bestFit="1" customWidth="1"/>
    <col min="6" max="6" width="28.3046875" bestFit="1" customWidth="1"/>
    <col min="7" max="7" width="43.15234375" customWidth="1"/>
    <col min="8" max="8" width="25.3046875" bestFit="1" customWidth="1"/>
    <col min="9" max="9" width="19.3046875" bestFit="1" customWidth="1"/>
    <col min="10" max="10" width="24" bestFit="1" customWidth="1"/>
    <col min="11" max="11" width="25" customWidth="1"/>
    <col min="12" max="12" width="16.69140625" bestFit="1" customWidth="1"/>
    <col min="13" max="13" width="27.3046875" bestFit="1" customWidth="1"/>
    <col min="14" max="14" width="31.69140625" bestFit="1" customWidth="1"/>
    <col min="15" max="15" width="30.15234375" bestFit="1" customWidth="1"/>
    <col min="16" max="16" width="40" bestFit="1" customWidth="1"/>
    <col min="17" max="17" width="23.3046875" bestFit="1" customWidth="1"/>
  </cols>
  <sheetData>
    <row r="1" spans="2:12">
      <c r="B1" s="69" t="s">
        <v>195</v>
      </c>
    </row>
    <row r="2" spans="2:12" ht="15" thickBot="1">
      <c r="J2" t="s">
        <v>196</v>
      </c>
      <c r="K2" t="s">
        <v>197</v>
      </c>
      <c r="L2">
        <v>2024</v>
      </c>
    </row>
    <row r="3" spans="2:12" ht="26.6" thickBot="1">
      <c r="B3" s="373" t="s">
        <v>1400</v>
      </c>
      <c r="C3" s="374"/>
      <c r="D3" s="374"/>
      <c r="E3" s="374"/>
      <c r="F3" s="374"/>
      <c r="G3" s="374"/>
      <c r="H3" s="375"/>
      <c r="J3" t="s">
        <v>199</v>
      </c>
      <c r="K3" t="s">
        <v>200</v>
      </c>
    </row>
    <row r="4" spans="2:12" ht="17.8" customHeight="1">
      <c r="B4" s="245" t="s">
        <v>201</v>
      </c>
      <c r="C4" s="93" t="s">
        <v>1401</v>
      </c>
      <c r="D4" s="273" t="s">
        <v>202</v>
      </c>
      <c r="E4" s="93">
        <v>31691269333</v>
      </c>
      <c r="F4" s="93"/>
      <c r="G4" s="273" t="s">
        <v>203</v>
      </c>
      <c r="H4" s="93">
        <v>241641326</v>
      </c>
      <c r="J4" t="s">
        <v>204</v>
      </c>
      <c r="K4" t="s">
        <v>205</v>
      </c>
    </row>
    <row r="5" spans="2:12">
      <c r="B5" s="250" t="s">
        <v>206</v>
      </c>
      <c r="C5" s="236">
        <v>45924</v>
      </c>
      <c r="D5" s="236"/>
      <c r="E5" s="237"/>
      <c r="F5" s="274" t="s">
        <v>207</v>
      </c>
      <c r="G5" s="285">
        <v>100</v>
      </c>
      <c r="H5" s="289"/>
      <c r="J5" t="s">
        <v>208</v>
      </c>
      <c r="K5" t="s">
        <v>209</v>
      </c>
    </row>
    <row r="6" spans="2:12">
      <c r="B6" s="251" t="s">
        <v>210</v>
      </c>
      <c r="C6" s="376" t="s">
        <v>1402</v>
      </c>
      <c r="D6" s="376"/>
      <c r="E6" s="232"/>
      <c r="F6" s="275" t="s">
        <v>211</v>
      </c>
      <c r="G6" s="232"/>
      <c r="H6" s="276"/>
      <c r="J6" t="s">
        <v>213</v>
      </c>
      <c r="K6" t="s">
        <v>214</v>
      </c>
    </row>
    <row r="7" spans="2:12">
      <c r="B7" s="250" t="s">
        <v>215</v>
      </c>
      <c r="C7" s="237"/>
      <c r="D7" s="237"/>
      <c r="E7" s="236"/>
      <c r="F7" s="237"/>
      <c r="G7" s="237"/>
      <c r="H7" s="241"/>
      <c r="J7" t="s">
        <v>216</v>
      </c>
      <c r="K7" t="s">
        <v>217</v>
      </c>
    </row>
    <row r="8" spans="2:12">
      <c r="B8" s="249" t="s">
        <v>218</v>
      </c>
      <c r="C8" s="232" t="s">
        <v>221</v>
      </c>
      <c r="D8" s="232"/>
      <c r="E8" s="252"/>
      <c r="F8" s="275" t="s">
        <v>220</v>
      </c>
      <c r="G8" s="232"/>
      <c r="H8" s="276"/>
      <c r="J8" t="s">
        <v>222</v>
      </c>
      <c r="K8" t="s">
        <v>223</v>
      </c>
    </row>
    <row r="9" spans="2:12">
      <c r="B9" s="239"/>
      <c r="C9" s="237"/>
      <c r="D9" s="237" t="s">
        <v>224</v>
      </c>
      <c r="E9" s="236"/>
      <c r="F9" s="237"/>
      <c r="G9" s="237"/>
      <c r="H9" s="241"/>
      <c r="J9" t="s">
        <v>225</v>
      </c>
      <c r="K9" t="s">
        <v>226</v>
      </c>
    </row>
    <row r="10" spans="2:12">
      <c r="B10" s="249" t="s">
        <v>227</v>
      </c>
      <c r="C10" s="277" t="s">
        <v>228</v>
      </c>
      <c r="D10" s="277" t="s">
        <v>1403</v>
      </c>
      <c r="E10" s="232"/>
      <c r="F10" s="232"/>
      <c r="G10" s="232"/>
      <c r="H10" s="276"/>
      <c r="J10" t="s">
        <v>229</v>
      </c>
      <c r="K10" t="s">
        <v>230</v>
      </c>
    </row>
    <row r="11" spans="2:12">
      <c r="B11" s="250" t="s">
        <v>231</v>
      </c>
      <c r="C11" s="288" t="s">
        <v>228</v>
      </c>
      <c r="D11" s="237"/>
      <c r="E11" s="237"/>
      <c r="F11" s="237"/>
      <c r="G11" s="285"/>
      <c r="H11" s="289"/>
      <c r="J11" t="s">
        <v>232</v>
      </c>
      <c r="K11" t="s">
        <v>233</v>
      </c>
    </row>
    <row r="12" spans="2:12">
      <c r="B12" s="240"/>
      <c r="C12" s="232"/>
      <c r="D12" s="232"/>
      <c r="E12" s="252"/>
      <c r="F12" s="232"/>
      <c r="G12" s="232"/>
      <c r="H12" s="276"/>
      <c r="J12" t="s">
        <v>234</v>
      </c>
      <c r="K12" t="s">
        <v>235</v>
      </c>
    </row>
    <row r="13" spans="2:12">
      <c r="B13" s="250" t="s">
        <v>236</v>
      </c>
      <c r="C13" s="237" t="s">
        <v>212</v>
      </c>
      <c r="D13" s="237"/>
      <c r="E13" s="237"/>
      <c r="F13" s="274" t="s">
        <v>238</v>
      </c>
      <c r="G13" s="237" t="s">
        <v>212</v>
      </c>
      <c r="H13" s="237"/>
      <c r="J13" t="s">
        <v>239</v>
      </c>
    </row>
    <row r="14" spans="2:12">
      <c r="B14" s="242"/>
      <c r="C14" s="233"/>
      <c r="D14" s="233"/>
      <c r="E14" s="232" t="s">
        <v>240</v>
      </c>
      <c r="F14" s="232" t="s">
        <v>241</v>
      </c>
      <c r="G14" s="232"/>
      <c r="H14" s="232"/>
      <c r="J14" t="s">
        <v>242</v>
      </c>
    </row>
    <row r="15" spans="2:12">
      <c r="B15" s="250" t="s">
        <v>243</v>
      </c>
      <c r="C15" s="237" t="s">
        <v>602</v>
      </c>
      <c r="D15" s="237" t="s">
        <v>1399</v>
      </c>
      <c r="E15" s="361">
        <v>67</v>
      </c>
      <c r="F15" s="237" t="s">
        <v>237</v>
      </c>
      <c r="G15" s="285" t="s">
        <v>687</v>
      </c>
      <c r="H15" s="285"/>
      <c r="J15" t="s">
        <v>245</v>
      </c>
    </row>
    <row r="16" spans="2:12">
      <c r="B16" s="240"/>
      <c r="C16" s="363" t="s">
        <v>602</v>
      </c>
      <c r="D16" s="363" t="s">
        <v>1404</v>
      </c>
      <c r="E16" s="362">
        <v>322</v>
      </c>
      <c r="F16" s="363" t="s">
        <v>237</v>
      </c>
      <c r="G16" s="240" t="s">
        <v>687</v>
      </c>
      <c r="H16" s="240"/>
    </row>
    <row r="17" spans="2:10">
      <c r="B17" s="250"/>
      <c r="C17" s="237" t="s">
        <v>602</v>
      </c>
      <c r="D17" s="237" t="s">
        <v>1399</v>
      </c>
      <c r="E17" s="361">
        <v>67</v>
      </c>
      <c r="F17" s="237" t="s">
        <v>237</v>
      </c>
      <c r="G17" s="285" t="s">
        <v>687</v>
      </c>
      <c r="H17" s="285"/>
    </row>
    <row r="18" spans="2:10">
      <c r="B18" s="240"/>
      <c r="C18" s="363" t="s">
        <v>602</v>
      </c>
      <c r="D18" s="363" t="s">
        <v>1404</v>
      </c>
      <c r="E18" s="362">
        <v>322</v>
      </c>
      <c r="F18" s="363" t="s">
        <v>237</v>
      </c>
      <c r="G18" s="240" t="s">
        <v>687</v>
      </c>
      <c r="H18" s="232"/>
    </row>
    <row r="19" spans="2:10">
      <c r="B19" s="250"/>
      <c r="C19" s="237"/>
      <c r="D19" s="237"/>
      <c r="E19" s="236"/>
      <c r="F19" s="237"/>
      <c r="G19" s="285"/>
      <c r="H19" s="285"/>
    </row>
    <row r="20" spans="2:10">
      <c r="B20" s="242"/>
      <c r="C20" s="233"/>
      <c r="D20" s="233"/>
      <c r="E20" s="232"/>
      <c r="F20" s="232"/>
      <c r="G20" s="232"/>
      <c r="H20" s="232"/>
      <c r="J20" t="s">
        <v>246</v>
      </c>
    </row>
    <row r="21" spans="2:10">
      <c r="B21" s="250" t="s">
        <v>247</v>
      </c>
      <c r="C21" s="237" t="s">
        <v>248</v>
      </c>
      <c r="D21" s="237" t="s">
        <v>82</v>
      </c>
      <c r="E21" s="236" t="s">
        <v>83</v>
      </c>
      <c r="F21" s="237" t="s">
        <v>249</v>
      </c>
      <c r="G21" s="285"/>
      <c r="H21" s="285"/>
      <c r="J21" t="s">
        <v>250</v>
      </c>
    </row>
    <row r="22" spans="2:10">
      <c r="B22" s="240"/>
      <c r="C22" s="232" t="s">
        <v>317</v>
      </c>
      <c r="D22" s="371" t="s">
        <v>1431</v>
      </c>
      <c r="E22" s="252" t="s">
        <v>1432</v>
      </c>
      <c r="F22" s="232" t="s">
        <v>1433</v>
      </c>
      <c r="G22" s="232"/>
      <c r="H22" s="232"/>
      <c r="J22" t="s">
        <v>253</v>
      </c>
    </row>
    <row r="23" spans="2:10">
      <c r="B23" s="239"/>
      <c r="C23" s="237"/>
      <c r="D23" s="237"/>
      <c r="E23" s="236"/>
      <c r="F23" s="237"/>
      <c r="G23" s="237"/>
      <c r="H23" s="237"/>
      <c r="J23" t="s">
        <v>256</v>
      </c>
    </row>
    <row r="24" spans="2:10">
      <c r="B24" s="240"/>
      <c r="C24" s="232"/>
      <c r="D24" s="232"/>
      <c r="E24" s="252"/>
      <c r="F24" s="232"/>
      <c r="G24" s="232"/>
      <c r="H24" s="232"/>
      <c r="J24" t="s">
        <v>257</v>
      </c>
    </row>
    <row r="25" spans="2:10">
      <c r="B25" s="239"/>
      <c r="C25" s="237"/>
      <c r="D25" s="237"/>
      <c r="E25" s="236"/>
      <c r="F25" s="237"/>
      <c r="G25" s="237"/>
      <c r="H25" s="237"/>
      <c r="J25" t="s">
        <v>258</v>
      </c>
    </row>
    <row r="26" spans="2:10">
      <c r="B26" s="240"/>
      <c r="C26" s="232"/>
      <c r="D26" s="232"/>
      <c r="E26" s="252"/>
      <c r="F26" s="232"/>
      <c r="G26" s="232"/>
      <c r="H26" s="232"/>
    </row>
    <row r="28" spans="2:10">
      <c r="B28" t="s">
        <v>259</v>
      </c>
      <c r="C28" s="69" t="s">
        <v>1405</v>
      </c>
      <c r="D28" t="s">
        <v>260</v>
      </c>
      <c r="E28" t="s">
        <v>1406</v>
      </c>
    </row>
    <row r="30" spans="2:10" ht="15.9">
      <c r="B30" s="170" t="s">
        <v>262</v>
      </c>
      <c r="C30" s="170" t="s">
        <v>263</v>
      </c>
      <c r="D30" s="170" t="s">
        <v>264</v>
      </c>
      <c r="E30" s="170" t="s">
        <v>265</v>
      </c>
      <c r="F30" s="170" t="s">
        <v>266</v>
      </c>
      <c r="G30" s="170" t="s">
        <v>267</v>
      </c>
      <c r="H30" s="170" t="s">
        <v>268</v>
      </c>
    </row>
    <row r="31" spans="2:10" hidden="1" outlineLevel="1">
      <c r="B31" s="14"/>
      <c r="D31" t="e">
        <f>VLOOKUP(C31,'Document Type'!$B$6:$C$34,2,FALSE)</f>
        <v>#N/A</v>
      </c>
      <c r="E31" s="218"/>
    </row>
    <row r="32" spans="2:10" hidden="1" outlineLevel="1">
      <c r="D32" t="e">
        <f>VLOOKUP(C32,'Document Type'!$B$6:$C$34,2,FALSE)</f>
        <v>#N/A</v>
      </c>
      <c r="E32" s="218"/>
    </row>
    <row r="33" spans="4:6" hidden="1" outlineLevel="1">
      <c r="D33" t="e">
        <f>VLOOKUP(C33,'Document Type'!$B$6:$C$34,2,FALSE)</f>
        <v>#N/A</v>
      </c>
      <c r="E33" s="218"/>
      <c r="F33" s="232"/>
    </row>
    <row r="34" spans="4:6" hidden="1" outlineLevel="1">
      <c r="D34" t="e">
        <f>VLOOKUP(C34,'Document Type'!$B$6:$C$34,2,FALSE)</f>
        <v>#N/A</v>
      </c>
      <c r="E34" s="218"/>
    </row>
    <row r="35" spans="4:6" hidden="1" outlineLevel="1">
      <c r="D35" t="e">
        <f>VLOOKUP(C35,'Document Type'!$B$6:$C$34,2,FALSE)</f>
        <v>#N/A</v>
      </c>
      <c r="E35" s="218"/>
    </row>
    <row r="36" spans="4:6" hidden="1" outlineLevel="1">
      <c r="D36" t="e">
        <f>VLOOKUP(C36,'Document Type'!$B$6:$C$34,2,FALSE)</f>
        <v>#N/A</v>
      </c>
      <c r="E36" s="218"/>
    </row>
    <row r="37" spans="4:6" hidden="1" outlineLevel="1">
      <c r="D37" t="e">
        <f>VLOOKUP(C37,'Document Type'!$B$6:$C$34,2,FALSE)</f>
        <v>#N/A</v>
      </c>
      <c r="E37" s="218"/>
    </row>
    <row r="38" spans="4:6" hidden="1" outlineLevel="1">
      <c r="D38" t="e">
        <f>VLOOKUP(C38,'Document Type'!$B$6:$C$34,2,FALSE)</f>
        <v>#N/A</v>
      </c>
      <c r="E38" s="218"/>
    </row>
    <row r="39" spans="4:6" hidden="1" outlineLevel="1">
      <c r="D39" t="e">
        <f>VLOOKUP(C39,'Document Type'!$B$6:$C$34,2,FALSE)</f>
        <v>#N/A</v>
      </c>
      <c r="E39" s="218"/>
    </row>
    <row r="40" spans="4:6" hidden="1" outlineLevel="1">
      <c r="D40" t="e">
        <f>VLOOKUP(C40,'Document Type'!$B$6:$C$34,2,FALSE)</f>
        <v>#N/A</v>
      </c>
      <c r="E40" s="218"/>
    </row>
    <row r="41" spans="4:6" hidden="1" outlineLevel="1">
      <c r="D41" t="e">
        <f>VLOOKUP(C41,'Document Type'!$B$6:$C$34,2,FALSE)</f>
        <v>#N/A</v>
      </c>
      <c r="E41" s="218"/>
    </row>
    <row r="42" spans="4:6" hidden="1" outlineLevel="1">
      <c r="D42" t="e">
        <f>VLOOKUP(C42,'Document Type'!$B$6:$C$34,2,FALSE)</f>
        <v>#N/A</v>
      </c>
      <c r="E42" s="218"/>
    </row>
    <row r="43" spans="4:6" hidden="1" outlineLevel="1">
      <c r="D43" t="e">
        <f>VLOOKUP(C43,'Document Type'!$B$6:$C$34,2,FALSE)</f>
        <v>#N/A</v>
      </c>
      <c r="E43" s="218"/>
    </row>
    <row r="44" spans="4:6" hidden="1" outlineLevel="1">
      <c r="D44" t="e">
        <f>VLOOKUP(C44,'Document Type'!$B$6:$C$34,2,FALSE)</f>
        <v>#N/A</v>
      </c>
      <c r="E44" s="218"/>
    </row>
    <row r="45" spans="4:6" hidden="1" outlineLevel="1">
      <c r="D45" t="e">
        <f>VLOOKUP(C45,'Document Type'!$B$6:$C$34,2,FALSE)</f>
        <v>#N/A</v>
      </c>
      <c r="E45" s="218"/>
    </row>
    <row r="46" spans="4:6" hidden="1" outlineLevel="1">
      <c r="D46" t="e">
        <f>VLOOKUP(C46,'Document Type'!$B$6:$C$34,2,FALSE)</f>
        <v>#N/A</v>
      </c>
      <c r="E46" s="218"/>
    </row>
    <row r="47" spans="4:6" hidden="1" outlineLevel="1">
      <c r="D47" t="e">
        <f>VLOOKUP(C47,'Document Type'!$B$6:$C$34,2,FALSE)</f>
        <v>#N/A</v>
      </c>
      <c r="E47" s="218"/>
    </row>
    <row r="48" spans="4:6" hidden="1" outlineLevel="1">
      <c r="D48" t="e">
        <f>VLOOKUP(C48,'Document Type'!$B$6:$C$34,2,FALSE)</f>
        <v>#N/A</v>
      </c>
      <c r="E48" s="218"/>
    </row>
    <row r="49" spans="4:7" hidden="1" outlineLevel="1">
      <c r="D49" t="e">
        <f>VLOOKUP(C49,'Document Type'!$B$6:$C$34,2,FALSE)</f>
        <v>#N/A</v>
      </c>
      <c r="E49" s="218"/>
    </row>
    <row r="50" spans="4:7" hidden="1" outlineLevel="1">
      <c r="D50" t="e">
        <f>VLOOKUP(C50,'Document Type'!$B$6:$C$34,2,FALSE)</f>
        <v>#N/A</v>
      </c>
      <c r="E50" s="218"/>
    </row>
    <row r="51" spans="4:7" hidden="1" outlineLevel="1">
      <c r="D51" t="e">
        <f>VLOOKUP(C51,'Document Type'!$B$6:$C$34,2,FALSE)</f>
        <v>#N/A</v>
      </c>
      <c r="E51" s="218"/>
    </row>
    <row r="52" spans="4:7" hidden="1" outlineLevel="1">
      <c r="D52" t="e">
        <f>VLOOKUP(C52,'Document Type'!$B$6:$C$34,2,FALSE)</f>
        <v>#N/A</v>
      </c>
      <c r="E52" s="218"/>
    </row>
    <row r="53" spans="4:7" hidden="1" outlineLevel="1">
      <c r="D53" t="e">
        <f>VLOOKUP(C53,'Document Type'!$B$6:$C$34,2,FALSE)</f>
        <v>#N/A</v>
      </c>
      <c r="E53" s="218"/>
    </row>
    <row r="54" spans="4:7" hidden="1" outlineLevel="1">
      <c r="D54" t="e">
        <f>VLOOKUP(C54,'Document Type'!$B$6:$C$34,2,FALSE)</f>
        <v>#N/A</v>
      </c>
      <c r="E54" s="218"/>
      <c r="G54" s="69"/>
    </row>
    <row r="55" spans="4:7" hidden="1" outlineLevel="1">
      <c r="D55" t="e">
        <f>VLOOKUP(C55,'Document Type'!$B$6:$C$34,2,FALSE)</f>
        <v>#N/A</v>
      </c>
    </row>
    <row r="56" spans="4:7" hidden="1" outlineLevel="1">
      <c r="D56" t="e">
        <f>VLOOKUP(C56,'Document Type'!$B$6:$C$34,2,FALSE)</f>
        <v>#N/A</v>
      </c>
    </row>
    <row r="57" spans="4:7" hidden="1" outlineLevel="1">
      <c r="D57" t="e">
        <f>VLOOKUP(C57,'Document Type'!$B$6:$C$34,2,FALSE)</f>
        <v>#N/A</v>
      </c>
    </row>
    <row r="58" spans="4:7" hidden="1" outlineLevel="1">
      <c r="D58" t="e">
        <f>VLOOKUP(C58,'Document Type'!$B$6:$C$34,2,FALSE)</f>
        <v>#N/A</v>
      </c>
    </row>
    <row r="59" spans="4:7" hidden="1" outlineLevel="1">
      <c r="D59" t="e">
        <f>VLOOKUP(C59,'Document Type'!$B$6:$C$34,2,FALSE)</f>
        <v>#N/A</v>
      </c>
    </row>
    <row r="60" spans="4:7" hidden="1" outlineLevel="1">
      <c r="D60" t="e">
        <f>VLOOKUP(C60,'Document Type'!$B$6:$C$34,2,FALSE)</f>
        <v>#N/A</v>
      </c>
    </row>
    <row r="61" spans="4:7" hidden="1" outlineLevel="1">
      <c r="D61" t="e">
        <f>VLOOKUP(C61,'Document Type'!$B$6:$C$34,2,FALSE)</f>
        <v>#N/A</v>
      </c>
    </row>
    <row r="62" spans="4:7" hidden="1" outlineLevel="1">
      <c r="D62" t="e">
        <f>VLOOKUP(C62,'Document Type'!$B$6:$C$34,2,FALSE)</f>
        <v>#N/A</v>
      </c>
    </row>
    <row r="63" spans="4:7" hidden="1" outlineLevel="1">
      <c r="D63" t="e">
        <f>VLOOKUP(C63,'Document Type'!$B$6:$C$34,2,FALSE)</f>
        <v>#N/A</v>
      </c>
    </row>
    <row r="64" spans="4:7" hidden="1" outlineLevel="1">
      <c r="D64" t="e">
        <f>VLOOKUP(C64,'Document Type'!$B$6:$C$34,2,FALSE)</f>
        <v>#N/A</v>
      </c>
    </row>
    <row r="65" spans="2:17" hidden="1" outlineLevel="1">
      <c r="D65" t="e">
        <f>VLOOKUP(C65,'Document Type'!$B$6:$C$34,2,FALSE)</f>
        <v>#N/A</v>
      </c>
    </row>
    <row r="66" spans="2:17" outlineLevel="1">
      <c r="B66" t="s">
        <v>1398</v>
      </c>
      <c r="C66" t="s">
        <v>204</v>
      </c>
      <c r="D66" t="str">
        <f>VLOOKUP(C66,'Document Type'!$B$6:$C$34,2,FALSE)</f>
        <v>Company Setup</v>
      </c>
      <c r="E66" s="140">
        <v>45924</v>
      </c>
      <c r="F66" t="s">
        <v>1396</v>
      </c>
      <c r="G66" s="69" t="s">
        <v>1407</v>
      </c>
      <c r="H66" t="s">
        <v>1236</v>
      </c>
    </row>
    <row r="67" spans="2:17" outlineLevel="1">
      <c r="B67" t="s">
        <v>1421</v>
      </c>
      <c r="C67" t="s">
        <v>204</v>
      </c>
      <c r="D67" t="str">
        <f>VLOOKUP(C67,'Document Type'!$B$6:$C$34,2,FALSE)</f>
        <v>Company Setup</v>
      </c>
      <c r="E67" s="140">
        <v>45899</v>
      </c>
      <c r="G67" s="69" t="s">
        <v>1422</v>
      </c>
      <c r="H67" t="s">
        <v>439</v>
      </c>
    </row>
    <row r="68" spans="2:17">
      <c r="D68" t="e">
        <f>VLOOKUP(C68,'Document Type'!$B$6:$C$34,2,FALSE)</f>
        <v>#N/A</v>
      </c>
    </row>
    <row r="69" spans="2:17" ht="15.9">
      <c r="B69" s="170" t="s">
        <v>289</v>
      </c>
    </row>
    <row r="70" spans="2:17" s="199" customFormat="1">
      <c r="B70" s="350" t="s">
        <v>265</v>
      </c>
      <c r="C70" s="350" t="s">
        <v>290</v>
      </c>
      <c r="D70" s="350" t="s">
        <v>291</v>
      </c>
      <c r="E70" s="351" t="s">
        <v>292</v>
      </c>
      <c r="F70" s="350" t="s">
        <v>293</v>
      </c>
      <c r="G70" s="350" t="s">
        <v>294</v>
      </c>
      <c r="H70" s="352" t="s">
        <v>295</v>
      </c>
      <c r="I70" s="353" t="s">
        <v>296</v>
      </c>
      <c r="J70" s="354" t="s">
        <v>297</v>
      </c>
      <c r="K70" s="199" t="s">
        <v>298</v>
      </c>
      <c r="L70" s="199" t="s">
        <v>299</v>
      </c>
      <c r="M70" s="199" t="s">
        <v>300</v>
      </c>
      <c r="N70" s="354" t="s">
        <v>301</v>
      </c>
      <c r="O70" s="199" t="s">
        <v>302</v>
      </c>
      <c r="P70" s="199" t="s">
        <v>303</v>
      </c>
      <c r="Q70" s="199" t="s">
        <v>304</v>
      </c>
    </row>
    <row r="71" spans="2:17" hidden="1" outlineLevel="1">
      <c r="B71" s="140"/>
      <c r="C71" s="93"/>
      <c r="D71" s="93"/>
      <c r="E71" s="93"/>
      <c r="F71" s="93"/>
      <c r="G71" s="93"/>
      <c r="H71" s="93"/>
      <c r="I71" s="93"/>
      <c r="J71" s="209"/>
      <c r="K71" s="93"/>
      <c r="L71" s="93"/>
      <c r="M71" s="93"/>
      <c r="N71" s="209"/>
      <c r="O71" s="93"/>
      <c r="P71" s="93"/>
      <c r="Q71" s="93"/>
    </row>
    <row r="72" spans="2:17" hidden="1" outlineLevel="1">
      <c r="B72" s="140"/>
      <c r="C72" s="93"/>
      <c r="D72" s="93"/>
      <c r="E72" s="93"/>
      <c r="F72" s="93"/>
      <c r="G72" s="93"/>
      <c r="H72" s="93"/>
      <c r="I72" s="93"/>
      <c r="J72" s="209"/>
      <c r="K72" s="93"/>
      <c r="L72" s="93"/>
      <c r="M72" s="93"/>
      <c r="N72" s="209"/>
      <c r="O72" s="93"/>
      <c r="P72" s="93"/>
      <c r="Q72" s="93"/>
    </row>
    <row r="73" spans="2:17" hidden="1" outlineLevel="1">
      <c r="B73" s="140"/>
      <c r="C73" s="93"/>
      <c r="D73" s="93"/>
      <c r="E73" s="93"/>
      <c r="F73" s="93"/>
      <c r="G73" s="93"/>
      <c r="H73" s="93"/>
      <c r="I73" s="93"/>
      <c r="J73" s="209"/>
      <c r="K73" s="93"/>
      <c r="L73" s="93"/>
      <c r="M73" s="93"/>
      <c r="N73" s="209"/>
      <c r="O73" s="93"/>
      <c r="P73" s="93"/>
      <c r="Q73" s="93"/>
    </row>
    <row r="74" spans="2:17" hidden="1" outlineLevel="1">
      <c r="B74" s="140"/>
      <c r="C74" s="93"/>
      <c r="D74" s="93"/>
      <c r="E74" s="93"/>
      <c r="F74" s="93"/>
      <c r="G74" s="93"/>
      <c r="H74" s="93"/>
      <c r="I74" s="93"/>
      <c r="J74" s="209"/>
      <c r="K74" s="93"/>
      <c r="L74" s="93"/>
      <c r="M74" s="93"/>
      <c r="N74" s="209"/>
      <c r="O74" s="93"/>
      <c r="P74" s="93"/>
      <c r="Q74" s="93"/>
    </row>
    <row r="75" spans="2:17" hidden="1" outlineLevel="1">
      <c r="B75" s="140"/>
      <c r="C75" s="93"/>
      <c r="D75" s="93"/>
      <c r="E75" s="93"/>
      <c r="F75" s="93"/>
      <c r="G75" s="93"/>
      <c r="H75" s="93"/>
      <c r="I75" s="93"/>
      <c r="J75" s="209"/>
      <c r="K75" s="93"/>
      <c r="L75" s="93"/>
      <c r="M75" s="93"/>
      <c r="N75" s="209"/>
      <c r="O75" s="93"/>
      <c r="P75" s="93"/>
      <c r="Q75" s="93"/>
    </row>
    <row r="76" spans="2:17" hidden="1" outlineLevel="1">
      <c r="B76" s="140"/>
      <c r="C76" s="93"/>
      <c r="D76" s="93"/>
      <c r="E76" s="93"/>
      <c r="F76" s="93"/>
      <c r="G76" s="93"/>
      <c r="H76" s="93"/>
      <c r="I76" s="93"/>
      <c r="J76" s="209"/>
      <c r="K76" s="93"/>
      <c r="L76" s="93"/>
      <c r="M76" s="93"/>
      <c r="N76" s="209"/>
      <c r="O76" s="93"/>
      <c r="P76" s="93"/>
      <c r="Q76" s="93"/>
    </row>
    <row r="77" spans="2:17" hidden="1" outlineLevel="1">
      <c r="B77" s="140"/>
      <c r="C77" s="93"/>
      <c r="D77" s="93"/>
      <c r="E77" s="93"/>
      <c r="F77" s="93"/>
      <c r="G77" s="93"/>
      <c r="H77" s="93"/>
      <c r="I77" s="93"/>
      <c r="J77" s="209"/>
      <c r="K77" s="93"/>
      <c r="L77" s="93"/>
      <c r="M77" s="93"/>
      <c r="N77" s="209"/>
      <c r="O77" s="93"/>
      <c r="P77" s="93"/>
      <c r="Q77" s="93"/>
    </row>
    <row r="78" spans="2:17" hidden="1" outlineLevel="1">
      <c r="B78" s="140"/>
      <c r="C78" s="93"/>
      <c r="D78" s="93"/>
      <c r="E78" s="93"/>
      <c r="F78" s="93"/>
      <c r="G78" s="93"/>
      <c r="H78" s="93"/>
      <c r="I78" s="93"/>
      <c r="J78" s="209"/>
      <c r="K78" s="93"/>
      <c r="L78" s="93"/>
      <c r="M78" s="93"/>
      <c r="N78" s="209"/>
      <c r="O78" s="93"/>
      <c r="P78" s="93"/>
      <c r="Q78" s="93"/>
    </row>
    <row r="79" spans="2:17" hidden="1" outlineLevel="1">
      <c r="B79" s="140"/>
      <c r="C79" s="93"/>
      <c r="D79" s="93"/>
      <c r="E79" s="93"/>
      <c r="F79" s="93"/>
      <c r="G79" s="93"/>
      <c r="H79" s="93"/>
      <c r="I79" s="93"/>
      <c r="J79" s="209"/>
      <c r="K79" s="93"/>
      <c r="L79" s="93"/>
      <c r="M79" s="93"/>
      <c r="N79" s="209"/>
      <c r="O79" s="93"/>
      <c r="P79" s="93"/>
      <c r="Q79" s="93"/>
    </row>
    <row r="80" spans="2:17" hidden="1" outlineLevel="1">
      <c r="B80" s="140"/>
      <c r="C80" s="93"/>
      <c r="D80" s="93"/>
      <c r="E80" s="93"/>
      <c r="F80" s="93"/>
      <c r="G80" s="93"/>
      <c r="H80" s="93"/>
      <c r="I80" s="93"/>
      <c r="J80" s="209"/>
      <c r="K80" s="93"/>
      <c r="L80" s="93"/>
      <c r="M80" s="93"/>
      <c r="N80" s="209"/>
      <c r="O80" s="93"/>
      <c r="P80" s="93"/>
      <c r="Q80" s="93"/>
    </row>
    <row r="81" spans="2:17" hidden="1" outlineLevel="1">
      <c r="B81" s="140"/>
      <c r="C81" s="93"/>
      <c r="D81" s="93"/>
      <c r="E81" s="93"/>
      <c r="F81" s="93"/>
      <c r="G81" s="93"/>
      <c r="H81" s="93"/>
      <c r="I81" s="93"/>
      <c r="J81" s="209"/>
      <c r="K81" s="93"/>
      <c r="L81" s="93"/>
      <c r="M81" s="93"/>
      <c r="N81" s="209"/>
      <c r="O81" s="93"/>
      <c r="P81" s="93"/>
      <c r="Q81" s="93"/>
    </row>
    <row r="82" spans="2:17" hidden="1" outlineLevel="1">
      <c r="B82" s="140"/>
      <c r="C82" s="93"/>
      <c r="D82" s="93"/>
      <c r="E82" s="93"/>
      <c r="F82" s="93"/>
      <c r="G82" s="93"/>
      <c r="H82" s="93"/>
      <c r="I82" s="93"/>
      <c r="J82" s="209"/>
      <c r="K82" s="93"/>
      <c r="L82" s="93"/>
      <c r="M82" s="93"/>
      <c r="N82" s="209"/>
      <c r="O82" s="93"/>
      <c r="P82" s="93"/>
      <c r="Q82" s="93"/>
    </row>
    <row r="83" spans="2:17" hidden="1" outlineLevel="1">
      <c r="B83" s="140"/>
      <c r="C83" s="93"/>
      <c r="D83" s="93"/>
      <c r="E83" s="93"/>
      <c r="F83" s="93"/>
      <c r="G83" s="93"/>
      <c r="H83" s="93"/>
      <c r="I83" s="93"/>
      <c r="J83" s="209"/>
      <c r="K83" s="93"/>
      <c r="L83" s="93"/>
      <c r="M83" s="93"/>
      <c r="N83" s="209"/>
      <c r="O83" s="93"/>
      <c r="P83" s="93"/>
      <c r="Q83" s="93"/>
    </row>
    <row r="84" spans="2:17" hidden="1" outlineLevel="1">
      <c r="B84" s="140"/>
      <c r="C84" s="93"/>
      <c r="D84" s="93"/>
      <c r="E84" s="93"/>
      <c r="F84" s="93"/>
      <c r="G84" s="93"/>
      <c r="H84" s="93"/>
      <c r="I84" s="93"/>
      <c r="J84" s="209"/>
      <c r="K84" s="93"/>
      <c r="L84" s="93"/>
      <c r="M84" s="93"/>
      <c r="N84" s="209"/>
      <c r="O84" s="93"/>
      <c r="P84" s="93"/>
      <c r="Q84" s="93"/>
    </row>
    <row r="85" spans="2:17" hidden="1" outlineLevel="1">
      <c r="B85" s="140"/>
      <c r="C85" s="93"/>
      <c r="D85" s="93"/>
      <c r="E85" s="93"/>
      <c r="F85" s="93"/>
      <c r="G85" s="93"/>
      <c r="H85" s="93"/>
      <c r="I85" s="93"/>
      <c r="J85" s="209"/>
      <c r="K85" s="93"/>
      <c r="L85" s="93"/>
      <c r="M85" s="93"/>
      <c r="N85" s="209"/>
      <c r="O85" s="93"/>
      <c r="P85" s="93"/>
      <c r="Q85" s="93"/>
    </row>
    <row r="86" spans="2:17" hidden="1" outlineLevel="1">
      <c r="B86" s="140"/>
      <c r="C86" s="93"/>
      <c r="D86" s="93"/>
      <c r="E86" s="93"/>
      <c r="F86" s="93"/>
      <c r="G86" s="93"/>
      <c r="H86" s="93"/>
      <c r="I86" s="93"/>
      <c r="J86" s="209"/>
      <c r="K86" s="93"/>
      <c r="L86" s="93"/>
      <c r="M86" s="93"/>
      <c r="N86" s="209"/>
      <c r="O86" s="93"/>
      <c r="P86" s="93"/>
      <c r="Q86" s="93"/>
    </row>
    <row r="87" spans="2:17" hidden="1" outlineLevel="1">
      <c r="B87" s="140"/>
      <c r="C87" s="93"/>
      <c r="D87" s="93"/>
      <c r="E87" s="93"/>
      <c r="F87" s="93"/>
      <c r="G87" s="93"/>
      <c r="H87" s="93"/>
      <c r="I87" s="93"/>
      <c r="J87" s="209"/>
      <c r="K87" s="93"/>
      <c r="L87" s="93"/>
      <c r="M87" s="93"/>
      <c r="N87" s="209"/>
      <c r="O87" s="93"/>
      <c r="P87" s="93"/>
      <c r="Q87" s="93"/>
    </row>
    <row r="88" spans="2:17" hidden="1" outlineLevel="1">
      <c r="B88" s="140"/>
      <c r="C88" s="93"/>
      <c r="D88" s="93"/>
      <c r="E88" s="93"/>
      <c r="F88" s="93"/>
      <c r="G88" s="93"/>
      <c r="H88" s="93"/>
      <c r="I88" s="93"/>
      <c r="J88" s="209"/>
      <c r="K88" s="93"/>
      <c r="L88" s="93"/>
      <c r="M88" s="93"/>
      <c r="N88" s="209"/>
      <c r="O88" s="93"/>
      <c r="P88" s="93"/>
      <c r="Q88" s="93"/>
    </row>
    <row r="89" spans="2:17" hidden="1" outlineLevel="1">
      <c r="B89" s="93"/>
      <c r="C89" s="93"/>
      <c r="D89" s="93"/>
      <c r="E89" s="93"/>
      <c r="F89" s="93"/>
      <c r="G89" s="93"/>
      <c r="H89" s="93"/>
      <c r="I89" s="93"/>
      <c r="J89" s="209"/>
      <c r="K89" s="93"/>
      <c r="L89" s="93"/>
      <c r="M89" s="93"/>
      <c r="N89" s="209"/>
      <c r="O89" s="93"/>
      <c r="P89" s="93"/>
      <c r="Q89" s="93"/>
    </row>
    <row r="90" spans="2:17" hidden="1" outlineLevel="1">
      <c r="B90" s="93"/>
      <c r="C90" s="93"/>
      <c r="D90" s="93"/>
      <c r="E90" s="93"/>
      <c r="F90" s="93"/>
      <c r="G90" s="93"/>
      <c r="H90" s="93"/>
      <c r="I90" s="93"/>
      <c r="J90" s="209"/>
      <c r="K90" s="93"/>
      <c r="L90" s="93"/>
      <c r="M90" s="93"/>
      <c r="N90" s="209"/>
      <c r="O90" s="93"/>
      <c r="P90" s="93"/>
      <c r="Q90" s="93"/>
    </row>
    <row r="91" spans="2:17" hidden="1" outlineLevel="1">
      <c r="B91" s="93"/>
      <c r="C91" s="93"/>
      <c r="D91" s="93"/>
      <c r="E91" s="93"/>
      <c r="F91" s="93"/>
      <c r="G91" s="93"/>
      <c r="H91" s="93"/>
      <c r="I91" s="93"/>
      <c r="J91" s="209"/>
      <c r="K91" s="93"/>
      <c r="L91" s="93"/>
      <c r="M91" s="93"/>
      <c r="N91" s="209"/>
      <c r="O91" s="93"/>
      <c r="P91" s="93"/>
      <c r="Q91" s="93"/>
    </row>
    <row r="92" spans="2:17" hidden="1" outlineLevel="1">
      <c r="B92" s="93"/>
      <c r="C92" s="93"/>
      <c r="D92" s="93"/>
      <c r="E92" s="93"/>
      <c r="F92" s="93"/>
      <c r="G92" s="93"/>
      <c r="H92" s="93"/>
      <c r="I92" s="93"/>
      <c r="J92" s="209"/>
      <c r="K92" s="93"/>
      <c r="L92" s="93"/>
      <c r="M92" s="93"/>
      <c r="N92" s="209"/>
      <c r="O92" s="93"/>
      <c r="P92" s="93"/>
      <c r="Q92" s="93"/>
    </row>
    <row r="93" spans="2:17" hidden="1" outlineLevel="1">
      <c r="B93" s="93"/>
      <c r="C93" s="93"/>
      <c r="D93" s="93"/>
      <c r="E93" s="93"/>
      <c r="F93" s="93"/>
      <c r="G93" s="93"/>
      <c r="H93" s="93"/>
      <c r="I93" s="93"/>
      <c r="J93" s="209"/>
      <c r="K93" s="93"/>
      <c r="L93" s="93"/>
      <c r="M93" s="93"/>
      <c r="N93" s="209"/>
      <c r="O93" s="93"/>
      <c r="P93" s="93"/>
      <c r="Q93" s="93"/>
    </row>
    <row r="94" spans="2:17" hidden="1" outlineLevel="1">
      <c r="B94" s="93"/>
      <c r="C94" s="93"/>
      <c r="D94" s="93"/>
      <c r="E94" s="93"/>
      <c r="F94" s="93"/>
      <c r="G94" s="93"/>
      <c r="H94" s="93"/>
      <c r="I94" s="93"/>
      <c r="J94" s="209"/>
      <c r="K94" s="93"/>
      <c r="L94" s="93"/>
      <c r="M94" s="93"/>
      <c r="N94" s="209"/>
      <c r="O94" s="93"/>
      <c r="P94" s="93"/>
      <c r="Q94" s="93"/>
    </row>
    <row r="95" spans="2:17" hidden="1" outlineLevel="1">
      <c r="B95" s="93"/>
      <c r="C95" s="93"/>
      <c r="D95" s="93"/>
      <c r="E95" s="93"/>
      <c r="F95" s="93"/>
      <c r="G95" s="93"/>
      <c r="H95" s="93"/>
      <c r="I95" s="93"/>
      <c r="J95" s="209"/>
      <c r="K95" s="93"/>
      <c r="L95" s="93"/>
      <c r="M95" s="93"/>
      <c r="N95" s="209"/>
      <c r="O95" s="93"/>
      <c r="P95" s="93"/>
      <c r="Q95" s="93"/>
    </row>
    <row r="96" spans="2:17" hidden="1" outlineLevel="1">
      <c r="B96" s="93"/>
      <c r="C96" s="93"/>
      <c r="D96" s="93"/>
      <c r="E96" s="93"/>
      <c r="F96" s="93"/>
      <c r="G96" s="93"/>
      <c r="H96" s="93"/>
      <c r="I96" s="93"/>
      <c r="J96" s="209"/>
      <c r="K96" s="93"/>
      <c r="L96" s="93"/>
      <c r="M96" s="93"/>
      <c r="N96" s="209"/>
      <c r="O96" s="93"/>
      <c r="P96" s="93"/>
      <c r="Q96" s="93"/>
    </row>
    <row r="97" spans="2:17" outlineLevel="1">
      <c r="B97" s="140">
        <v>45924</v>
      </c>
      <c r="C97" s="93" t="s">
        <v>437</v>
      </c>
      <c r="D97" s="93" t="s">
        <v>1399</v>
      </c>
      <c r="E97" s="93">
        <v>1</v>
      </c>
      <c r="F97" s="93">
        <v>1</v>
      </c>
      <c r="G97" s="93">
        <v>1</v>
      </c>
      <c r="H97" s="93">
        <v>100</v>
      </c>
      <c r="I97" s="93"/>
      <c r="J97" s="209">
        <v>0.01</v>
      </c>
      <c r="K97" s="93">
        <v>0</v>
      </c>
      <c r="L97" s="93" t="s">
        <v>403</v>
      </c>
      <c r="M97" s="93">
        <v>100</v>
      </c>
      <c r="N97" s="209">
        <v>1</v>
      </c>
      <c r="O97" s="93" t="s">
        <v>403</v>
      </c>
      <c r="P97" s="93" t="s">
        <v>684</v>
      </c>
      <c r="Q97" s="93"/>
    </row>
    <row r="99" spans="2:17" ht="15.9">
      <c r="B99" s="170" t="s">
        <v>305</v>
      </c>
    </row>
    <row r="100" spans="2:17">
      <c r="B100" t="s">
        <v>224</v>
      </c>
      <c r="C100" t="s">
        <v>306</v>
      </c>
      <c r="D100" t="s">
        <v>307</v>
      </c>
      <c r="E100" t="s">
        <v>265</v>
      </c>
      <c r="F100" t="s">
        <v>308</v>
      </c>
      <c r="G100" t="s">
        <v>256</v>
      </c>
    </row>
    <row r="101" spans="2:17" hidden="1" outlineLevel="1">
      <c r="D101" s="112"/>
      <c r="E101" s="218"/>
    </row>
    <row r="102" spans="2:17" hidden="1" outlineLevel="1">
      <c r="D102" s="112"/>
      <c r="E102" s="218"/>
    </row>
    <row r="103" spans="2:17" hidden="1" outlineLevel="1">
      <c r="D103" s="112"/>
      <c r="E103" s="218"/>
    </row>
    <row r="104" spans="2:17" hidden="1" outlineLevel="1">
      <c r="D104" s="112"/>
      <c r="E104" s="218"/>
    </row>
    <row r="105" spans="2:17" hidden="1" outlineLevel="1">
      <c r="D105" s="112"/>
    </row>
    <row r="106" spans="2:17" hidden="1" outlineLevel="1">
      <c r="D106" s="112"/>
    </row>
    <row r="107" spans="2:17" collapsed="1"/>
    <row r="108" spans="2:17" ht="15.9">
      <c r="B108" s="170" t="s">
        <v>309</v>
      </c>
    </row>
    <row r="109" spans="2:17">
      <c r="B109" t="s">
        <v>310</v>
      </c>
      <c r="C109" t="s">
        <v>311</v>
      </c>
      <c r="D109" t="s">
        <v>312</v>
      </c>
      <c r="E109" t="s">
        <v>313</v>
      </c>
      <c r="F109" t="s">
        <v>314</v>
      </c>
      <c r="G109" t="s">
        <v>705</v>
      </c>
      <c r="H109" t="s">
        <v>315</v>
      </c>
    </row>
    <row r="110" spans="2:17" hidden="1" outlineLevel="1">
      <c r="H110" s="112">
        <f>Table79136165[[#This Row],[Sale Price]]-Table79136165[[#This Row],[Purchase Price]]+Table79136165[[#This Row],[Depreciation]]</f>
        <v>0</v>
      </c>
    </row>
    <row r="111" spans="2:17" hidden="1" outlineLevel="1">
      <c r="H111" s="112">
        <f>Table79136165[[#This Row],[Sale Price]]-Table79136165[[#This Row],[Purchase Price]]+Table79136165[[#This Row],[Depreciation]]</f>
        <v>0</v>
      </c>
    </row>
    <row r="112" spans="2:17" hidden="1" outlineLevel="1">
      <c r="H112" s="112">
        <f>Table79136165[[#This Row],[Sale Price]]-Table79136165[[#This Row],[Purchase Price]]+Table79136165[[#This Row],[Depreciation]]</f>
        <v>0</v>
      </c>
    </row>
    <row r="113" spans="8:8" hidden="1" outlineLevel="1">
      <c r="H113" s="112">
        <f>Table79136165[[#This Row],[Sale Price]]-Table79136165[[#This Row],[Purchase Price]]+Table79136165[[#This Row],[Depreciation]]</f>
        <v>0</v>
      </c>
    </row>
    <row r="114" spans="8:8" hidden="1" outlineLevel="1">
      <c r="H114" s="112">
        <f>Table79136165[[#This Row],[Sale Price]]-Table79136165[[#This Row],[Purchase Price]]+Table79136165[[#This Row],[Depreciation]]</f>
        <v>0</v>
      </c>
    </row>
    <row r="115" spans="8:8" hidden="1" outlineLevel="1">
      <c r="H115" s="112">
        <f>Table79136165[[#This Row],[Sale Price]]-Table79136165[[#This Row],[Purchase Price]]+Table79136165[[#This Row],[Depreciation]]</f>
        <v>0</v>
      </c>
    </row>
    <row r="116" spans="8:8" hidden="1" outlineLevel="1">
      <c r="H116" s="112">
        <f>Table79136165[[#This Row],[Sale Price]]-Table79136165[[#This Row],[Purchase Price]]+Table79136165[[#This Row],[Depreciation]]</f>
        <v>0</v>
      </c>
    </row>
    <row r="117" spans="8:8" hidden="1" outlineLevel="1">
      <c r="H117" s="112">
        <f>Table79136165[[#This Row],[Sale Price]]-Table79136165[[#This Row],[Purchase Price]]+Table79136165[[#This Row],[Depreciation]]</f>
        <v>0</v>
      </c>
    </row>
    <row r="118" spans="8:8" hidden="1" outlineLevel="1">
      <c r="H118" s="112">
        <f>Table79136165[[#This Row],[Sale Price]]-Table79136165[[#This Row],[Purchase Price]]+Table79136165[[#This Row],[Depreciation]]</f>
        <v>0</v>
      </c>
    </row>
    <row r="119" spans="8:8" hidden="1" outlineLevel="1">
      <c r="H119" s="112">
        <f>Table79136165[[#This Row],[Sale Price]]-Table79136165[[#This Row],[Purchase Price]]+Table79136165[[#This Row],[Depreciation]]</f>
        <v>0</v>
      </c>
    </row>
    <row r="120" spans="8:8" hidden="1" outlineLevel="1">
      <c r="H120" s="112">
        <f>Table79136165[[#This Row],[Sale Price]]-Table79136165[[#This Row],[Purchase Price]]+Table79136165[[#This Row],[Depreciation]]</f>
        <v>0</v>
      </c>
    </row>
    <row r="121" spans="8:8" hidden="1" outlineLevel="1">
      <c r="H121" s="112">
        <f>Table79136165[[#This Row],[Sale Price]]-Table79136165[[#This Row],[Purchase Price]]+Table79136165[[#This Row],[Depreciation]]</f>
        <v>0</v>
      </c>
    </row>
    <row r="122" spans="8:8" hidden="1" outlineLevel="1">
      <c r="H122" s="112">
        <f>Table79136165[[#This Row],[Sale Price]]-Table79136165[[#This Row],[Purchase Price]]+Table79136165[[#This Row],[Depreciation]]</f>
        <v>0</v>
      </c>
    </row>
    <row r="123" spans="8:8" hidden="1" outlineLevel="1">
      <c r="H123" s="112">
        <f>Table79136165[[#This Row],[Sale Price]]-Table79136165[[#This Row],[Purchase Price]]+Table79136165[[#This Row],[Depreciation]]</f>
        <v>0</v>
      </c>
    </row>
    <row r="124" spans="8:8" hidden="1" outlineLevel="1">
      <c r="H124" s="112">
        <f>Table79136165[[#This Row],[Sale Price]]-Table79136165[[#This Row],[Purchase Price]]+Table79136165[[#This Row],[Depreciation]]</f>
        <v>0</v>
      </c>
    </row>
    <row r="125" spans="8:8" hidden="1" outlineLevel="1">
      <c r="H125" s="112">
        <f>Table79136165[[#This Row],[Sale Price]]-Table79136165[[#This Row],[Purchase Price]]+Table79136165[[#This Row],[Depreciation]]</f>
        <v>0</v>
      </c>
    </row>
    <row r="126" spans="8:8" hidden="1" outlineLevel="1">
      <c r="H126" s="112">
        <f>Table79136165[[#This Row],[Sale Price]]-Table79136165[[#This Row],[Purchase Price]]+Table79136165[[#This Row],[Depreciation]]</f>
        <v>0</v>
      </c>
    </row>
    <row r="127" spans="8:8" hidden="1" outlineLevel="1">
      <c r="H127" s="112">
        <f>Table79136165[[#This Row],[Sale Price]]-Table79136165[[#This Row],[Purchase Price]]+Table79136165[[#This Row],[Depreciation]]</f>
        <v>0</v>
      </c>
    </row>
    <row r="128" spans="8:8" collapsed="1"/>
  </sheetData>
  <mergeCells count="2">
    <mergeCell ref="B3:H3"/>
    <mergeCell ref="C6:D6"/>
  </mergeCells>
  <hyperlinks>
    <hyperlink ref="C28" r:id="rId1" xr:uid="{21236431-21D4-4AD6-90BA-074538FA8A2F}"/>
    <hyperlink ref="G66" r:id="rId2" display="../../../../../:b:/g/personal/robert_tekna_com_au/EcSxjR_BpMxLuckkSUQsPOMB3TYfXdzMGevsOWH_kuuT-w?e=D4nAbJ" xr:uid="{9DC9F06E-48B4-4A23-93FE-BDDE4F5FD03D}"/>
    <hyperlink ref="G67" r:id="rId3" xr:uid="{22AE8784-93DF-4E6F-B478-E21F28FD9236}"/>
  </hyperlinks>
  <pageMargins left="0.7" right="0.7" top="0.75" bottom="0.75" header="0.3" footer="0.3"/>
  <pageSetup paperSize="9" orientation="portrait" r:id="rId4"/>
  <tableParts count="4"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571D6050-55EE-4641-B36C-3AC667D32D48}">
          <x14:formula1>
            <xm:f>'Document Type'!$B$38:$B$39</xm:f>
          </x14:formula1>
          <xm:sqref>G6 F33 G13 C13 F15:F19</xm:sqref>
        </x14:dataValidation>
        <x14:dataValidation type="list" allowBlank="1" showInputMessage="1" showErrorMessage="1" xr:uid="{BAB77F41-2822-4361-9344-38ED25D99101}">
          <x14:formula1>
            <xm:f>'Document Type'!$B$45:$B$47</xm:f>
          </x14:formula1>
          <xm:sqref>C8 G8</xm:sqref>
        </x14:dataValidation>
        <x14:dataValidation type="list" allowBlank="1" showInputMessage="1" showErrorMessage="1" xr:uid="{C6F8AFED-E6DC-4108-9F3F-2E82086D811A}">
          <x14:formula1>
            <xm:f>'Document Type'!$B$49:$B$51</xm:f>
          </x14:formula1>
          <xm:sqref>C10:C11</xm:sqref>
        </x14:dataValidation>
        <x14:dataValidation type="list" allowBlank="1" showInputMessage="1" showErrorMessage="1" xr:uid="{C158B414-685E-4574-B4D0-B2A61B26759A}">
          <x14:formula1>
            <xm:f>'Document Type'!$B$6:$B$34</xm:f>
          </x14:formula1>
          <xm:sqref>C31:C68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1263-52DA-47DA-A9DF-C248772F9CCE}">
  <dimension ref="B1:Q123"/>
  <sheetViews>
    <sheetView workbookViewId="0">
      <selection activeCell="A92" sqref="A92"/>
    </sheetView>
  </sheetViews>
  <sheetFormatPr defaultColWidth="8.69140625" defaultRowHeight="14.6" outlineLevelRow="1"/>
  <cols>
    <col min="1" max="1" width="3.15234375" customWidth="1"/>
    <col min="2" max="2" width="30.15234375" bestFit="1" customWidth="1"/>
    <col min="3" max="3" width="46" bestFit="1" customWidth="1"/>
    <col min="4" max="4" width="15.3046875" bestFit="1" customWidth="1"/>
    <col min="5" max="5" width="20.69140625" bestFit="1" customWidth="1"/>
    <col min="6" max="6" width="28.3046875" bestFit="1" customWidth="1"/>
    <col min="7" max="7" width="43.15234375" customWidth="1"/>
    <col min="8" max="8" width="25.3046875" bestFit="1" customWidth="1"/>
    <col min="9" max="9" width="19.3046875" bestFit="1" customWidth="1"/>
    <col min="10" max="10" width="24" bestFit="1" customWidth="1"/>
    <col min="11" max="11" width="25" customWidth="1"/>
    <col min="12" max="12" width="16.69140625" bestFit="1" customWidth="1"/>
    <col min="13" max="13" width="27.3046875" bestFit="1" customWidth="1"/>
    <col min="14" max="14" width="31.69140625" bestFit="1" customWidth="1"/>
    <col min="15" max="15" width="30.15234375" bestFit="1" customWidth="1"/>
    <col min="16" max="16" width="40" bestFit="1" customWidth="1"/>
    <col min="17" max="17" width="23.3046875" bestFit="1" customWidth="1"/>
  </cols>
  <sheetData>
    <row r="1" spans="2:12">
      <c r="B1" s="69" t="s">
        <v>195</v>
      </c>
    </row>
    <row r="2" spans="2:12" ht="15" thickBot="1">
      <c r="J2" t="s">
        <v>196</v>
      </c>
      <c r="K2" t="s">
        <v>197</v>
      </c>
      <c r="L2">
        <v>2024</v>
      </c>
    </row>
    <row r="3" spans="2:12" ht="26.6" thickBot="1">
      <c r="B3" s="373" t="s">
        <v>1391</v>
      </c>
      <c r="C3" s="374"/>
      <c r="D3" s="374"/>
      <c r="E3" s="374"/>
      <c r="F3" s="374"/>
      <c r="G3" s="374"/>
      <c r="H3" s="375"/>
      <c r="J3" t="s">
        <v>199</v>
      </c>
      <c r="K3" t="s">
        <v>200</v>
      </c>
    </row>
    <row r="4" spans="2:12" ht="17.8" customHeight="1">
      <c r="B4" s="245" t="s">
        <v>1392</v>
      </c>
      <c r="C4" s="93"/>
      <c r="D4" s="273" t="s">
        <v>202</v>
      </c>
      <c r="E4" s="93"/>
      <c r="F4" s="93"/>
      <c r="G4" s="273" t="s">
        <v>203</v>
      </c>
      <c r="H4" s="93"/>
      <c r="J4" t="s">
        <v>204</v>
      </c>
      <c r="K4" t="s">
        <v>205</v>
      </c>
    </row>
    <row r="5" spans="2:12">
      <c r="B5" s="250" t="s">
        <v>206</v>
      </c>
      <c r="C5" s="236">
        <v>45924</v>
      </c>
      <c r="D5" s="236"/>
      <c r="E5" s="237"/>
      <c r="F5" s="274" t="s">
        <v>207</v>
      </c>
      <c r="G5" s="285">
        <v>100</v>
      </c>
      <c r="H5" s="289"/>
      <c r="J5" t="s">
        <v>208</v>
      </c>
      <c r="K5" t="s">
        <v>209</v>
      </c>
    </row>
    <row r="6" spans="2:12">
      <c r="B6" s="251" t="s">
        <v>210</v>
      </c>
      <c r="C6" s="376" t="s">
        <v>1393</v>
      </c>
      <c r="D6" s="376"/>
      <c r="E6" s="232"/>
      <c r="F6" s="275" t="s">
        <v>211</v>
      </c>
      <c r="G6" s="232"/>
      <c r="H6" s="276"/>
      <c r="J6" t="s">
        <v>213</v>
      </c>
      <c r="K6" t="s">
        <v>214</v>
      </c>
    </row>
    <row r="7" spans="2:12">
      <c r="B7" s="250" t="s">
        <v>215</v>
      </c>
      <c r="C7" s="237"/>
      <c r="D7" s="237"/>
      <c r="E7" s="236"/>
      <c r="F7" s="237"/>
      <c r="G7" s="237"/>
      <c r="H7" s="241"/>
      <c r="J7" t="s">
        <v>216</v>
      </c>
      <c r="K7" t="s">
        <v>217</v>
      </c>
    </row>
    <row r="8" spans="2:12">
      <c r="B8" s="249" t="s">
        <v>218</v>
      </c>
      <c r="C8" s="232" t="s">
        <v>221</v>
      </c>
      <c r="D8" s="232"/>
      <c r="E8" s="252"/>
      <c r="F8" s="275" t="s">
        <v>220</v>
      </c>
      <c r="G8" s="232"/>
      <c r="H8" s="276"/>
      <c r="J8" t="s">
        <v>222</v>
      </c>
      <c r="K8" t="s">
        <v>223</v>
      </c>
    </row>
    <row r="9" spans="2:12">
      <c r="B9" s="239"/>
      <c r="C9" s="237"/>
      <c r="D9" s="237" t="s">
        <v>224</v>
      </c>
      <c r="E9" s="236"/>
      <c r="F9" s="237"/>
      <c r="G9" s="237"/>
      <c r="H9" s="241"/>
      <c r="J9" t="s">
        <v>225</v>
      </c>
      <c r="K9" t="s">
        <v>226</v>
      </c>
    </row>
    <row r="10" spans="2:12">
      <c r="B10" s="249" t="s">
        <v>227</v>
      </c>
      <c r="C10" s="277" t="s">
        <v>228</v>
      </c>
      <c r="D10" s="252"/>
      <c r="E10" s="232"/>
      <c r="F10" s="232"/>
      <c r="G10" s="232"/>
      <c r="H10" s="276"/>
      <c r="J10" t="s">
        <v>229</v>
      </c>
      <c r="K10" t="s">
        <v>230</v>
      </c>
    </row>
    <row r="11" spans="2:12">
      <c r="B11" s="250" t="s">
        <v>231</v>
      </c>
      <c r="C11" s="288" t="s">
        <v>228</v>
      </c>
      <c r="D11" s="237"/>
      <c r="E11" s="237"/>
      <c r="F11" s="237"/>
      <c r="G11" s="285"/>
      <c r="H11" s="289"/>
      <c r="J11" t="s">
        <v>232</v>
      </c>
      <c r="K11" t="s">
        <v>233</v>
      </c>
    </row>
    <row r="12" spans="2:12">
      <c r="B12" s="240"/>
      <c r="C12" s="232"/>
      <c r="D12" s="232"/>
      <c r="E12" s="252"/>
      <c r="F12" s="232"/>
      <c r="G12" s="232"/>
      <c r="H12" s="276"/>
      <c r="J12" t="s">
        <v>234</v>
      </c>
      <c r="K12" t="s">
        <v>235</v>
      </c>
    </row>
    <row r="13" spans="2:12">
      <c r="B13" s="250" t="s">
        <v>236</v>
      </c>
      <c r="C13" s="237" t="s">
        <v>212</v>
      </c>
      <c r="D13" s="237"/>
      <c r="E13" s="237"/>
      <c r="F13" s="274" t="s">
        <v>238</v>
      </c>
      <c r="G13" s="237" t="s">
        <v>212</v>
      </c>
      <c r="H13" s="237"/>
      <c r="J13" t="s">
        <v>239</v>
      </c>
    </row>
    <row r="14" spans="2:12">
      <c r="B14" s="242"/>
      <c r="C14" s="233"/>
      <c r="D14" s="233"/>
      <c r="E14" s="232" t="s">
        <v>240</v>
      </c>
      <c r="F14" s="232" t="s">
        <v>241</v>
      </c>
      <c r="G14" s="232"/>
      <c r="H14" s="232"/>
      <c r="J14" t="s">
        <v>242</v>
      </c>
    </row>
    <row r="15" spans="2:12">
      <c r="B15" s="250" t="s">
        <v>243</v>
      </c>
      <c r="C15" s="377" t="s">
        <v>602</v>
      </c>
      <c r="D15" s="377"/>
      <c r="E15" s="237">
        <v>100</v>
      </c>
      <c r="F15" s="237" t="s">
        <v>237</v>
      </c>
      <c r="G15" s="237"/>
      <c r="H15" s="237"/>
      <c r="J15" t="s">
        <v>245</v>
      </c>
    </row>
    <row r="16" spans="2:12">
      <c r="B16" s="242"/>
      <c r="C16" s="233"/>
      <c r="D16" s="233"/>
      <c r="E16" s="232"/>
      <c r="F16" s="232"/>
      <c r="G16" s="232"/>
      <c r="H16" s="232"/>
      <c r="J16" t="s">
        <v>246</v>
      </c>
    </row>
    <row r="17" spans="2:10">
      <c r="B17" s="250" t="s">
        <v>247</v>
      </c>
      <c r="C17" s="237" t="s">
        <v>248</v>
      </c>
      <c r="D17" s="237" t="s">
        <v>82</v>
      </c>
      <c r="E17" s="236" t="s">
        <v>83</v>
      </c>
      <c r="F17" s="237" t="s">
        <v>249</v>
      </c>
      <c r="G17" s="285"/>
      <c r="H17" s="285"/>
      <c r="J17" t="s">
        <v>250</v>
      </c>
    </row>
    <row r="18" spans="2:10">
      <c r="B18" s="240"/>
      <c r="C18" s="232"/>
      <c r="D18" s="232"/>
      <c r="E18" s="252"/>
      <c r="F18" s="232"/>
      <c r="G18" s="232"/>
      <c r="H18" s="232"/>
      <c r="J18" t="s">
        <v>253</v>
      </c>
    </row>
    <row r="19" spans="2:10">
      <c r="B19" s="239"/>
      <c r="C19" s="237"/>
      <c r="D19" s="237"/>
      <c r="E19" s="236"/>
      <c r="F19" s="237"/>
      <c r="G19" s="237"/>
      <c r="H19" s="237"/>
      <c r="J19" t="s">
        <v>256</v>
      </c>
    </row>
    <row r="20" spans="2:10">
      <c r="B20" s="240"/>
      <c r="C20" s="232"/>
      <c r="D20" s="232"/>
      <c r="E20" s="252"/>
      <c r="F20" s="232"/>
      <c r="G20" s="232"/>
      <c r="H20" s="232"/>
      <c r="J20" t="s">
        <v>257</v>
      </c>
    </row>
    <row r="21" spans="2:10">
      <c r="B21" s="239"/>
      <c r="C21" s="237"/>
      <c r="D21" s="237"/>
      <c r="E21" s="236"/>
      <c r="F21" s="237"/>
      <c r="G21" s="237"/>
      <c r="H21" s="237"/>
      <c r="J21" t="s">
        <v>258</v>
      </c>
    </row>
    <row r="22" spans="2:10">
      <c r="B22" s="240"/>
      <c r="C22" s="232"/>
      <c r="D22" s="232"/>
      <c r="E22" s="252"/>
      <c r="F22" s="232"/>
      <c r="G22" s="232"/>
      <c r="H22" s="232"/>
    </row>
    <row r="24" spans="2:10">
      <c r="B24" t="s">
        <v>259</v>
      </c>
      <c r="C24" s="69" t="s">
        <v>1394</v>
      </c>
      <c r="D24" t="s">
        <v>260</v>
      </c>
      <c r="E24" t="s">
        <v>1395</v>
      </c>
    </row>
    <row r="26" spans="2:10" ht="15.9">
      <c r="B26" s="170" t="s">
        <v>262</v>
      </c>
      <c r="C26" s="170" t="s">
        <v>263</v>
      </c>
      <c r="D26" s="170" t="s">
        <v>264</v>
      </c>
      <c r="E26" s="170" t="s">
        <v>265</v>
      </c>
      <c r="F26" s="170" t="s">
        <v>266</v>
      </c>
      <c r="G26" s="170" t="s">
        <v>267</v>
      </c>
      <c r="H26" s="170" t="s">
        <v>268</v>
      </c>
    </row>
    <row r="27" spans="2:10" hidden="1" outlineLevel="1">
      <c r="B27" s="14"/>
      <c r="D27" t="e">
        <f>VLOOKUP(C27,'Document Type'!$B$6:$C$34,2,FALSE)</f>
        <v>#N/A</v>
      </c>
      <c r="E27" s="218"/>
    </row>
    <row r="28" spans="2:10" hidden="1" outlineLevel="1">
      <c r="D28" t="e">
        <f>VLOOKUP(C28,'Document Type'!$B$6:$C$34,2,FALSE)</f>
        <v>#N/A</v>
      </c>
      <c r="E28" s="218"/>
    </row>
    <row r="29" spans="2:10" hidden="1" outlineLevel="1">
      <c r="D29" t="e">
        <f>VLOOKUP(C29,'Document Type'!$B$6:$C$34,2,FALSE)</f>
        <v>#N/A</v>
      </c>
      <c r="E29" s="218"/>
      <c r="F29" s="232"/>
    </row>
    <row r="30" spans="2:10" hidden="1" outlineLevel="1">
      <c r="D30" t="e">
        <f>VLOOKUP(C30,'Document Type'!$B$6:$C$34,2,FALSE)</f>
        <v>#N/A</v>
      </c>
      <c r="E30" s="218"/>
    </row>
    <row r="31" spans="2:10" hidden="1" outlineLevel="1">
      <c r="D31" t="e">
        <f>VLOOKUP(C31,'Document Type'!$B$6:$C$34,2,FALSE)</f>
        <v>#N/A</v>
      </c>
      <c r="E31" s="218"/>
    </row>
    <row r="32" spans="2:10" hidden="1" outlineLevel="1">
      <c r="D32" t="e">
        <f>VLOOKUP(C32,'Document Type'!$B$6:$C$34,2,FALSE)</f>
        <v>#N/A</v>
      </c>
      <c r="E32" s="218"/>
    </row>
    <row r="33" spans="4:5" hidden="1" outlineLevel="1">
      <c r="D33" t="e">
        <f>VLOOKUP(C33,'Document Type'!$B$6:$C$34,2,FALSE)</f>
        <v>#N/A</v>
      </c>
      <c r="E33" s="218"/>
    </row>
    <row r="34" spans="4:5" hidden="1" outlineLevel="1">
      <c r="D34" t="e">
        <f>VLOOKUP(C34,'Document Type'!$B$6:$C$34,2,FALSE)</f>
        <v>#N/A</v>
      </c>
      <c r="E34" s="218"/>
    </row>
    <row r="35" spans="4:5" hidden="1" outlineLevel="1">
      <c r="D35" t="e">
        <f>VLOOKUP(C35,'Document Type'!$B$6:$C$34,2,FALSE)</f>
        <v>#N/A</v>
      </c>
      <c r="E35" s="218"/>
    </row>
    <row r="36" spans="4:5" hidden="1" outlineLevel="1">
      <c r="D36" t="e">
        <f>VLOOKUP(C36,'Document Type'!$B$6:$C$34,2,FALSE)</f>
        <v>#N/A</v>
      </c>
      <c r="E36" s="218"/>
    </row>
    <row r="37" spans="4:5" hidden="1" outlineLevel="1">
      <c r="D37" t="e">
        <f>VLOOKUP(C37,'Document Type'!$B$6:$C$34,2,FALSE)</f>
        <v>#N/A</v>
      </c>
      <c r="E37" s="218"/>
    </row>
    <row r="38" spans="4:5" hidden="1" outlineLevel="1">
      <c r="D38" t="e">
        <f>VLOOKUP(C38,'Document Type'!$B$6:$C$34,2,FALSE)</f>
        <v>#N/A</v>
      </c>
      <c r="E38" s="218"/>
    </row>
    <row r="39" spans="4:5" hidden="1" outlineLevel="1">
      <c r="D39" t="e">
        <f>VLOOKUP(C39,'Document Type'!$B$6:$C$34,2,FALSE)</f>
        <v>#N/A</v>
      </c>
      <c r="E39" s="218"/>
    </row>
    <row r="40" spans="4:5" hidden="1" outlineLevel="1">
      <c r="D40" t="e">
        <f>VLOOKUP(C40,'Document Type'!$B$6:$C$34,2,FALSE)</f>
        <v>#N/A</v>
      </c>
      <c r="E40" s="218"/>
    </row>
    <row r="41" spans="4:5" hidden="1" outlineLevel="1">
      <c r="D41" t="e">
        <f>VLOOKUP(C41,'Document Type'!$B$6:$C$34,2,FALSE)</f>
        <v>#N/A</v>
      </c>
      <c r="E41" s="218"/>
    </row>
    <row r="42" spans="4:5" hidden="1" outlineLevel="1">
      <c r="D42" t="e">
        <f>VLOOKUP(C42,'Document Type'!$B$6:$C$34,2,FALSE)</f>
        <v>#N/A</v>
      </c>
      <c r="E42" s="218"/>
    </row>
    <row r="43" spans="4:5" hidden="1" outlineLevel="1">
      <c r="D43" t="e">
        <f>VLOOKUP(C43,'Document Type'!$B$6:$C$34,2,FALSE)</f>
        <v>#N/A</v>
      </c>
      <c r="E43" s="218"/>
    </row>
    <row r="44" spans="4:5" hidden="1" outlineLevel="1">
      <c r="D44" t="e">
        <f>VLOOKUP(C44,'Document Type'!$B$6:$C$34,2,FALSE)</f>
        <v>#N/A</v>
      </c>
      <c r="E44" s="218"/>
    </row>
    <row r="45" spans="4:5" hidden="1" outlineLevel="1">
      <c r="D45" t="e">
        <f>VLOOKUP(C45,'Document Type'!$B$6:$C$34,2,FALSE)</f>
        <v>#N/A</v>
      </c>
      <c r="E45" s="218"/>
    </row>
    <row r="46" spans="4:5" hidden="1" outlineLevel="1">
      <c r="D46" t="e">
        <f>VLOOKUP(C46,'Document Type'!$B$6:$C$34,2,FALSE)</f>
        <v>#N/A</v>
      </c>
      <c r="E46" s="218"/>
    </row>
    <row r="47" spans="4:5" hidden="1" outlineLevel="1">
      <c r="D47" t="e">
        <f>VLOOKUP(C47,'Document Type'!$B$6:$C$34,2,FALSE)</f>
        <v>#N/A</v>
      </c>
      <c r="E47" s="218"/>
    </row>
    <row r="48" spans="4:5" hidden="1" outlineLevel="1">
      <c r="D48" t="e">
        <f>VLOOKUP(C48,'Document Type'!$B$6:$C$34,2,FALSE)</f>
        <v>#N/A</v>
      </c>
      <c r="E48" s="218"/>
    </row>
    <row r="49" spans="2:8" hidden="1" outlineLevel="1">
      <c r="D49" t="e">
        <f>VLOOKUP(C49,'Document Type'!$B$6:$C$34,2,FALSE)</f>
        <v>#N/A</v>
      </c>
      <c r="E49" s="218"/>
    </row>
    <row r="50" spans="2:8" hidden="1" outlineLevel="1">
      <c r="D50" t="e">
        <f>VLOOKUP(C50,'Document Type'!$B$6:$C$34,2,FALSE)</f>
        <v>#N/A</v>
      </c>
      <c r="E50" s="218"/>
      <c r="G50" s="69"/>
    </row>
    <row r="51" spans="2:8" hidden="1" outlineLevel="1">
      <c r="D51" t="e">
        <f>VLOOKUP(C51,'Document Type'!$B$6:$C$34,2,FALSE)</f>
        <v>#N/A</v>
      </c>
    </row>
    <row r="52" spans="2:8" hidden="1" outlineLevel="1">
      <c r="D52" t="e">
        <f>VLOOKUP(C52,'Document Type'!$B$6:$C$34,2,FALSE)</f>
        <v>#N/A</v>
      </c>
    </row>
    <row r="53" spans="2:8" hidden="1" outlineLevel="1">
      <c r="D53" t="e">
        <f>VLOOKUP(C53,'Document Type'!$B$6:$C$34,2,FALSE)</f>
        <v>#N/A</v>
      </c>
    </row>
    <row r="54" spans="2:8" hidden="1" outlineLevel="1">
      <c r="D54" t="e">
        <f>VLOOKUP(C54,'Document Type'!$B$6:$C$34,2,FALSE)</f>
        <v>#N/A</v>
      </c>
    </row>
    <row r="55" spans="2:8" hidden="1" outlineLevel="1">
      <c r="D55" t="e">
        <f>VLOOKUP(C55,'Document Type'!$B$6:$C$34,2,FALSE)</f>
        <v>#N/A</v>
      </c>
    </row>
    <row r="56" spans="2:8" hidden="1" outlineLevel="1">
      <c r="D56" t="e">
        <f>VLOOKUP(C56,'Document Type'!$B$6:$C$34,2,FALSE)</f>
        <v>#N/A</v>
      </c>
    </row>
    <row r="57" spans="2:8" hidden="1" outlineLevel="1">
      <c r="D57" t="e">
        <f>VLOOKUP(C57,'Document Type'!$B$6:$C$34,2,FALSE)</f>
        <v>#N/A</v>
      </c>
    </row>
    <row r="58" spans="2:8" hidden="1" outlineLevel="1">
      <c r="D58" t="e">
        <f>VLOOKUP(C58,'Document Type'!$B$6:$C$34,2,FALSE)</f>
        <v>#N/A</v>
      </c>
    </row>
    <row r="59" spans="2:8" hidden="1" outlineLevel="1">
      <c r="D59" t="e">
        <f>VLOOKUP(C59,'Document Type'!$B$6:$C$34,2,FALSE)</f>
        <v>#N/A</v>
      </c>
    </row>
    <row r="60" spans="2:8" hidden="1" outlineLevel="1">
      <c r="D60" t="e">
        <f>VLOOKUP(C60,'Document Type'!$B$6:$C$34,2,FALSE)</f>
        <v>#N/A</v>
      </c>
    </row>
    <row r="61" spans="2:8" hidden="1" outlineLevel="1">
      <c r="D61" t="e">
        <f>VLOOKUP(C61,'Document Type'!$B$6:$C$34,2,FALSE)</f>
        <v>#N/A</v>
      </c>
    </row>
    <row r="62" spans="2:8" outlineLevel="1">
      <c r="B62" t="s">
        <v>1398</v>
      </c>
      <c r="C62" t="s">
        <v>204</v>
      </c>
      <c r="D62" t="str">
        <f>VLOOKUP(C62,'Document Type'!$B$6:$C$34,2,FALSE)</f>
        <v>Company Setup</v>
      </c>
      <c r="E62" s="140">
        <v>45924</v>
      </c>
      <c r="F62" t="s">
        <v>1396</v>
      </c>
      <c r="G62" s="69" t="s">
        <v>1397</v>
      </c>
      <c r="H62" t="s">
        <v>1236</v>
      </c>
    </row>
    <row r="64" spans="2:8" ht="15.9">
      <c r="B64" s="170" t="s">
        <v>289</v>
      </c>
    </row>
    <row r="65" spans="2:17" s="199" customFormat="1">
      <c r="B65" s="350" t="s">
        <v>265</v>
      </c>
      <c r="C65" s="350" t="s">
        <v>290</v>
      </c>
      <c r="D65" s="350" t="s">
        <v>291</v>
      </c>
      <c r="E65" s="351" t="s">
        <v>292</v>
      </c>
      <c r="F65" s="350" t="s">
        <v>293</v>
      </c>
      <c r="G65" s="350" t="s">
        <v>294</v>
      </c>
      <c r="H65" s="352" t="s">
        <v>295</v>
      </c>
      <c r="I65" s="353" t="s">
        <v>296</v>
      </c>
      <c r="J65" s="354" t="s">
        <v>297</v>
      </c>
      <c r="K65" s="199" t="s">
        <v>298</v>
      </c>
      <c r="L65" s="199" t="s">
        <v>299</v>
      </c>
      <c r="M65" s="199" t="s">
        <v>300</v>
      </c>
      <c r="N65" s="354" t="s">
        <v>301</v>
      </c>
      <c r="O65" s="199" t="s">
        <v>302</v>
      </c>
      <c r="P65" s="199" t="s">
        <v>303</v>
      </c>
      <c r="Q65" s="199" t="s">
        <v>304</v>
      </c>
    </row>
    <row r="66" spans="2:17" hidden="1" outlineLevel="1">
      <c r="B66" s="140"/>
      <c r="C66" s="93"/>
      <c r="D66" s="93"/>
      <c r="E66" s="93"/>
      <c r="F66" s="93"/>
      <c r="G66" s="93"/>
      <c r="H66" s="93"/>
      <c r="I66" s="93"/>
      <c r="J66" s="209"/>
      <c r="K66" s="93"/>
      <c r="L66" s="93"/>
      <c r="M66" s="93"/>
      <c r="N66" s="209"/>
      <c r="O66" s="93"/>
      <c r="P66" s="93"/>
      <c r="Q66" s="93"/>
    </row>
    <row r="67" spans="2:17" hidden="1" outlineLevel="1">
      <c r="B67" s="140"/>
      <c r="C67" s="93"/>
      <c r="D67" s="93"/>
      <c r="E67" s="93"/>
      <c r="F67" s="93"/>
      <c r="G67" s="93"/>
      <c r="H67" s="93"/>
      <c r="I67" s="93"/>
      <c r="J67" s="209"/>
      <c r="K67" s="93"/>
      <c r="L67" s="93"/>
      <c r="M67" s="93"/>
      <c r="N67" s="209"/>
      <c r="O67" s="93"/>
      <c r="P67" s="93"/>
      <c r="Q67" s="93"/>
    </row>
    <row r="68" spans="2:17" hidden="1" outlineLevel="1">
      <c r="B68" s="140"/>
      <c r="C68" s="93"/>
      <c r="D68" s="93"/>
      <c r="E68" s="93"/>
      <c r="F68" s="93"/>
      <c r="G68" s="93"/>
      <c r="H68" s="93"/>
      <c r="I68" s="93"/>
      <c r="J68" s="209"/>
      <c r="K68" s="93"/>
      <c r="L68" s="93"/>
      <c r="M68" s="93"/>
      <c r="N68" s="209"/>
      <c r="O68" s="93"/>
      <c r="P68" s="93"/>
      <c r="Q68" s="93"/>
    </row>
    <row r="69" spans="2:17" hidden="1" outlineLevel="1">
      <c r="B69" s="140"/>
      <c r="C69" s="93"/>
      <c r="D69" s="93"/>
      <c r="E69" s="93"/>
      <c r="F69" s="93"/>
      <c r="G69" s="93"/>
      <c r="H69" s="93"/>
      <c r="I69" s="93"/>
      <c r="J69" s="209"/>
      <c r="K69" s="93"/>
      <c r="L69" s="93"/>
      <c r="M69" s="93"/>
      <c r="N69" s="209"/>
      <c r="O69" s="93"/>
      <c r="P69" s="93"/>
      <c r="Q69" s="93"/>
    </row>
    <row r="70" spans="2:17" hidden="1" outlineLevel="1">
      <c r="B70" s="140"/>
      <c r="C70" s="93"/>
      <c r="D70" s="93"/>
      <c r="E70" s="93"/>
      <c r="F70" s="93"/>
      <c r="G70" s="93"/>
      <c r="H70" s="93"/>
      <c r="I70" s="93"/>
      <c r="J70" s="209"/>
      <c r="K70" s="93"/>
      <c r="L70" s="93"/>
      <c r="M70" s="93"/>
      <c r="N70" s="209"/>
      <c r="O70" s="93"/>
      <c r="P70" s="93"/>
      <c r="Q70" s="93"/>
    </row>
    <row r="71" spans="2:17" hidden="1" outlineLevel="1">
      <c r="B71" s="140"/>
      <c r="C71" s="93"/>
      <c r="D71" s="93"/>
      <c r="E71" s="93"/>
      <c r="F71" s="93"/>
      <c r="G71" s="93"/>
      <c r="H71" s="93"/>
      <c r="I71" s="93"/>
      <c r="J71" s="209"/>
      <c r="K71" s="93"/>
      <c r="L71" s="93"/>
      <c r="M71" s="93"/>
      <c r="N71" s="209"/>
      <c r="O71" s="93"/>
      <c r="P71" s="93"/>
      <c r="Q71" s="93"/>
    </row>
    <row r="72" spans="2:17" hidden="1" outlineLevel="1">
      <c r="B72" s="140"/>
      <c r="C72" s="93"/>
      <c r="D72" s="93"/>
      <c r="E72" s="93"/>
      <c r="F72" s="93"/>
      <c r="G72" s="93"/>
      <c r="H72" s="93"/>
      <c r="I72" s="93"/>
      <c r="J72" s="209"/>
      <c r="K72" s="93"/>
      <c r="L72" s="93"/>
      <c r="M72" s="93"/>
      <c r="N72" s="209"/>
      <c r="O72" s="93"/>
      <c r="P72" s="93"/>
      <c r="Q72" s="93"/>
    </row>
    <row r="73" spans="2:17" hidden="1" outlineLevel="1">
      <c r="B73" s="140"/>
      <c r="C73" s="93"/>
      <c r="D73" s="93"/>
      <c r="E73" s="93"/>
      <c r="F73" s="93"/>
      <c r="G73" s="93"/>
      <c r="H73" s="93"/>
      <c r="I73" s="93"/>
      <c r="J73" s="209"/>
      <c r="K73" s="93"/>
      <c r="L73" s="93"/>
      <c r="M73" s="93"/>
      <c r="N73" s="209"/>
      <c r="O73" s="93"/>
      <c r="P73" s="93"/>
      <c r="Q73" s="93"/>
    </row>
    <row r="74" spans="2:17" hidden="1" outlineLevel="1">
      <c r="B74" s="140"/>
      <c r="C74" s="93"/>
      <c r="D74" s="93"/>
      <c r="E74" s="93"/>
      <c r="F74" s="93"/>
      <c r="G74" s="93"/>
      <c r="H74" s="93"/>
      <c r="I74" s="93"/>
      <c r="J74" s="209"/>
      <c r="K74" s="93"/>
      <c r="L74" s="93"/>
      <c r="M74" s="93"/>
      <c r="N74" s="209"/>
      <c r="O74" s="93"/>
      <c r="P74" s="93"/>
      <c r="Q74" s="93"/>
    </row>
    <row r="75" spans="2:17" hidden="1" outlineLevel="1">
      <c r="B75" s="140"/>
      <c r="C75" s="93"/>
      <c r="D75" s="93"/>
      <c r="E75" s="93"/>
      <c r="F75" s="93"/>
      <c r="G75" s="93"/>
      <c r="H75" s="93"/>
      <c r="I75" s="93"/>
      <c r="J75" s="209"/>
      <c r="K75" s="93"/>
      <c r="L75" s="93"/>
      <c r="M75" s="93"/>
      <c r="N75" s="209"/>
      <c r="O75" s="93"/>
      <c r="P75" s="93"/>
      <c r="Q75" s="93"/>
    </row>
    <row r="76" spans="2:17" hidden="1" outlineLevel="1">
      <c r="B76" s="140"/>
      <c r="C76" s="93"/>
      <c r="D76" s="93"/>
      <c r="E76" s="93"/>
      <c r="F76" s="93"/>
      <c r="G76" s="93"/>
      <c r="H76" s="93"/>
      <c r="I76" s="93"/>
      <c r="J76" s="209"/>
      <c r="K76" s="93"/>
      <c r="L76" s="93"/>
      <c r="M76" s="93"/>
      <c r="N76" s="209"/>
      <c r="O76" s="93"/>
      <c r="P76" s="93"/>
      <c r="Q76" s="93"/>
    </row>
    <row r="77" spans="2:17" hidden="1" outlineLevel="1">
      <c r="B77" s="140"/>
      <c r="C77" s="93"/>
      <c r="D77" s="93"/>
      <c r="E77" s="93"/>
      <c r="F77" s="93"/>
      <c r="G77" s="93"/>
      <c r="H77" s="93"/>
      <c r="I77" s="93"/>
      <c r="J77" s="209"/>
      <c r="K77" s="93"/>
      <c r="L77" s="93"/>
      <c r="M77" s="93"/>
      <c r="N77" s="209"/>
      <c r="O77" s="93"/>
      <c r="P77" s="93"/>
      <c r="Q77" s="93"/>
    </row>
    <row r="78" spans="2:17" hidden="1" outlineLevel="1">
      <c r="B78" s="140"/>
      <c r="C78" s="93"/>
      <c r="D78" s="93"/>
      <c r="E78" s="93"/>
      <c r="F78" s="93"/>
      <c r="G78" s="93"/>
      <c r="H78" s="93"/>
      <c r="I78" s="93"/>
      <c r="J78" s="209"/>
      <c r="K78" s="93"/>
      <c r="L78" s="93"/>
      <c r="M78" s="93"/>
      <c r="N78" s="209"/>
      <c r="O78" s="93"/>
      <c r="P78" s="93"/>
      <c r="Q78" s="93"/>
    </row>
    <row r="79" spans="2:17" hidden="1" outlineLevel="1">
      <c r="B79" s="140"/>
      <c r="C79" s="93"/>
      <c r="D79" s="93"/>
      <c r="E79" s="93"/>
      <c r="F79" s="93"/>
      <c r="G79" s="93"/>
      <c r="H79" s="93"/>
      <c r="I79" s="93"/>
      <c r="J79" s="209"/>
      <c r="K79" s="93"/>
      <c r="L79" s="93"/>
      <c r="M79" s="93"/>
      <c r="N79" s="209"/>
      <c r="O79" s="93"/>
      <c r="P79" s="93"/>
      <c r="Q79" s="93"/>
    </row>
    <row r="80" spans="2:17" hidden="1" outlineLevel="1">
      <c r="B80" s="140"/>
      <c r="C80" s="93"/>
      <c r="D80" s="93"/>
      <c r="E80" s="93"/>
      <c r="F80" s="93"/>
      <c r="G80" s="93"/>
      <c r="H80" s="93"/>
      <c r="I80" s="93"/>
      <c r="J80" s="209"/>
      <c r="K80" s="93"/>
      <c r="L80" s="93"/>
      <c r="M80" s="93"/>
      <c r="N80" s="209"/>
      <c r="O80" s="93"/>
      <c r="P80" s="93"/>
      <c r="Q80" s="93"/>
    </row>
    <row r="81" spans="2:17" hidden="1" outlineLevel="1">
      <c r="B81" s="140"/>
      <c r="C81" s="93"/>
      <c r="D81" s="93"/>
      <c r="E81" s="93"/>
      <c r="F81" s="93"/>
      <c r="G81" s="93"/>
      <c r="H81" s="93"/>
      <c r="I81" s="93"/>
      <c r="J81" s="209"/>
      <c r="K81" s="93"/>
      <c r="L81" s="93"/>
      <c r="M81" s="93"/>
      <c r="N81" s="209"/>
      <c r="O81" s="93"/>
      <c r="P81" s="93"/>
      <c r="Q81" s="93"/>
    </row>
    <row r="82" spans="2:17" hidden="1" outlineLevel="1">
      <c r="B82" s="140"/>
      <c r="C82" s="93"/>
      <c r="D82" s="93"/>
      <c r="E82" s="93"/>
      <c r="F82" s="93"/>
      <c r="G82" s="93"/>
      <c r="H82" s="93"/>
      <c r="I82" s="93"/>
      <c r="J82" s="209"/>
      <c r="K82" s="93"/>
      <c r="L82" s="93"/>
      <c r="M82" s="93"/>
      <c r="N82" s="209"/>
      <c r="O82" s="93"/>
      <c r="P82" s="93"/>
      <c r="Q82" s="93"/>
    </row>
    <row r="83" spans="2:17" hidden="1" outlineLevel="1">
      <c r="B83" s="140"/>
      <c r="C83" s="93"/>
      <c r="D83" s="93"/>
      <c r="E83" s="93"/>
      <c r="F83" s="93"/>
      <c r="G83" s="93"/>
      <c r="H83" s="93"/>
      <c r="I83" s="93"/>
      <c r="J83" s="209"/>
      <c r="K83" s="93"/>
      <c r="L83" s="93"/>
      <c r="M83" s="93"/>
      <c r="N83" s="209"/>
      <c r="O83" s="93"/>
      <c r="P83" s="93"/>
      <c r="Q83" s="93"/>
    </row>
    <row r="84" spans="2:17" hidden="1" outlineLevel="1">
      <c r="B84" s="93"/>
      <c r="C84" s="93"/>
      <c r="D84" s="93"/>
      <c r="E84" s="93"/>
      <c r="F84" s="93"/>
      <c r="G84" s="93"/>
      <c r="H84" s="93"/>
      <c r="I84" s="93"/>
      <c r="J84" s="209"/>
      <c r="K84" s="93"/>
      <c r="L84" s="93"/>
      <c r="M84" s="93"/>
      <c r="N84" s="209"/>
      <c r="O84" s="93"/>
      <c r="P84" s="93"/>
      <c r="Q84" s="93"/>
    </row>
    <row r="85" spans="2:17" hidden="1" outlineLevel="1">
      <c r="B85" s="93"/>
      <c r="C85" s="93"/>
      <c r="D85" s="93"/>
      <c r="E85" s="93"/>
      <c r="F85" s="93"/>
      <c r="G85" s="93"/>
      <c r="H85" s="93"/>
      <c r="I85" s="93"/>
      <c r="J85" s="209"/>
      <c r="K85" s="93"/>
      <c r="L85" s="93"/>
      <c r="M85" s="93"/>
      <c r="N85" s="209"/>
      <c r="O85" s="93"/>
      <c r="P85" s="93"/>
      <c r="Q85" s="93"/>
    </row>
    <row r="86" spans="2:17" hidden="1" outlineLevel="1">
      <c r="B86" s="93"/>
      <c r="C86" s="93"/>
      <c r="D86" s="93"/>
      <c r="E86" s="93"/>
      <c r="F86" s="93"/>
      <c r="G86" s="93"/>
      <c r="H86" s="93"/>
      <c r="I86" s="93"/>
      <c r="J86" s="209"/>
      <c r="K86" s="93"/>
      <c r="L86" s="93"/>
      <c r="M86" s="93"/>
      <c r="N86" s="209"/>
      <c r="O86" s="93"/>
      <c r="P86" s="93"/>
      <c r="Q86" s="93"/>
    </row>
    <row r="87" spans="2:17" hidden="1" outlineLevel="1">
      <c r="B87" s="93"/>
      <c r="C87" s="93"/>
      <c r="D87" s="93"/>
      <c r="E87" s="93"/>
      <c r="F87" s="93"/>
      <c r="G87" s="93"/>
      <c r="H87" s="93"/>
      <c r="I87" s="93"/>
      <c r="J87" s="209"/>
      <c r="K87" s="93"/>
      <c r="L87" s="93"/>
      <c r="M87" s="93"/>
      <c r="N87" s="209"/>
      <c r="O87" s="93"/>
      <c r="P87" s="93"/>
      <c r="Q87" s="93"/>
    </row>
    <row r="88" spans="2:17" hidden="1" outlineLevel="1">
      <c r="B88" s="93"/>
      <c r="C88" s="93"/>
      <c r="D88" s="93"/>
      <c r="E88" s="93"/>
      <c r="F88" s="93"/>
      <c r="G88" s="93"/>
      <c r="H88" s="93"/>
      <c r="I88" s="93"/>
      <c r="J88" s="209"/>
      <c r="K88" s="93"/>
      <c r="L88" s="93"/>
      <c r="M88" s="93"/>
      <c r="N88" s="209"/>
      <c r="O88" s="93"/>
      <c r="P88" s="93"/>
      <c r="Q88" s="93"/>
    </row>
    <row r="89" spans="2:17" hidden="1" outlineLevel="1">
      <c r="B89" s="93"/>
      <c r="C89" s="93"/>
      <c r="D89" s="93"/>
      <c r="E89" s="93"/>
      <c r="F89" s="93"/>
      <c r="G89" s="93"/>
      <c r="H89" s="93"/>
      <c r="I89" s="93"/>
      <c r="J89" s="209"/>
      <c r="K89" s="93"/>
      <c r="L89" s="93"/>
      <c r="M89" s="93"/>
      <c r="N89" s="209"/>
      <c r="O89" s="93"/>
      <c r="P89" s="93"/>
      <c r="Q89" s="93"/>
    </row>
    <row r="90" spans="2:17" hidden="1" outlineLevel="1">
      <c r="B90" s="93"/>
      <c r="C90" s="93"/>
      <c r="D90" s="93"/>
      <c r="E90" s="93"/>
      <c r="F90" s="93"/>
      <c r="G90" s="93"/>
      <c r="H90" s="93"/>
      <c r="I90" s="93"/>
      <c r="J90" s="209"/>
      <c r="K90" s="93"/>
      <c r="L90" s="93"/>
      <c r="M90" s="93"/>
      <c r="N90" s="209"/>
      <c r="O90" s="93"/>
      <c r="P90" s="93"/>
      <c r="Q90" s="93"/>
    </row>
    <row r="91" spans="2:17" hidden="1" outlineLevel="1">
      <c r="B91" s="93"/>
      <c r="C91" s="93"/>
      <c r="D91" s="93"/>
      <c r="E91" s="93"/>
      <c r="F91" s="93"/>
      <c r="G91" s="93"/>
      <c r="H91" s="93"/>
      <c r="I91" s="93"/>
      <c r="J91" s="209"/>
      <c r="K91" s="93"/>
      <c r="L91" s="93"/>
      <c r="M91" s="93"/>
      <c r="N91" s="209"/>
      <c r="O91" s="93"/>
      <c r="P91" s="93"/>
      <c r="Q91" s="93"/>
    </row>
    <row r="92" spans="2:17" outlineLevel="1">
      <c r="B92" s="140">
        <v>45924</v>
      </c>
      <c r="C92" s="93" t="s">
        <v>437</v>
      </c>
      <c r="D92" s="93" t="s">
        <v>1399</v>
      </c>
      <c r="E92" s="93">
        <v>1</v>
      </c>
      <c r="F92" s="93">
        <v>1</v>
      </c>
      <c r="G92" s="93">
        <v>1</v>
      </c>
      <c r="H92" s="93">
        <v>100</v>
      </c>
      <c r="I92" s="93"/>
      <c r="J92" s="209">
        <v>0.01</v>
      </c>
      <c r="K92" s="93">
        <v>0</v>
      </c>
      <c r="L92" s="93" t="s">
        <v>403</v>
      </c>
      <c r="M92" s="93">
        <v>100</v>
      </c>
      <c r="N92" s="209">
        <v>1</v>
      </c>
      <c r="O92" s="93" t="s">
        <v>403</v>
      </c>
      <c r="P92" s="93" t="s">
        <v>684</v>
      </c>
      <c r="Q92" s="93"/>
    </row>
    <row r="94" spans="2:17" ht="15.9">
      <c r="B94" s="170" t="s">
        <v>305</v>
      </c>
    </row>
    <row r="95" spans="2:17">
      <c r="B95" t="s">
        <v>224</v>
      </c>
      <c r="C95" t="s">
        <v>306</v>
      </c>
      <c r="D95" t="s">
        <v>307</v>
      </c>
      <c r="E95" t="s">
        <v>265</v>
      </c>
      <c r="F95" t="s">
        <v>308</v>
      </c>
      <c r="G95" t="s">
        <v>256</v>
      </c>
    </row>
    <row r="96" spans="2:17" hidden="1" outlineLevel="1">
      <c r="D96" s="112"/>
      <c r="E96" s="218"/>
    </row>
    <row r="97" spans="2:8" hidden="1" outlineLevel="1">
      <c r="D97" s="112"/>
      <c r="E97" s="218"/>
    </row>
    <row r="98" spans="2:8" hidden="1" outlineLevel="1">
      <c r="D98" s="112"/>
      <c r="E98" s="218"/>
    </row>
    <row r="99" spans="2:8" hidden="1" outlineLevel="1">
      <c r="D99" s="112"/>
      <c r="E99" s="218"/>
    </row>
    <row r="100" spans="2:8" hidden="1" outlineLevel="1">
      <c r="D100" s="112"/>
    </row>
    <row r="101" spans="2:8" hidden="1" outlineLevel="1">
      <c r="D101" s="112"/>
    </row>
    <row r="102" spans="2:8" collapsed="1"/>
    <row r="103" spans="2:8" ht="15.9">
      <c r="B103" s="170" t="s">
        <v>309</v>
      </c>
    </row>
    <row r="104" spans="2:8">
      <c r="B104" t="s">
        <v>310</v>
      </c>
      <c r="C104" t="s">
        <v>311</v>
      </c>
      <c r="D104" t="s">
        <v>312</v>
      </c>
      <c r="E104" t="s">
        <v>313</v>
      </c>
      <c r="F104" t="s">
        <v>314</v>
      </c>
      <c r="G104" t="s">
        <v>705</v>
      </c>
      <c r="H104" t="s">
        <v>315</v>
      </c>
    </row>
    <row r="105" spans="2:8" hidden="1" outlineLevel="1">
      <c r="H105" s="112">
        <f>Table791361[[#This Row],[Sale Price]]-Table791361[[#This Row],[Purchase Price]]+Table791361[[#This Row],[Depreciation]]</f>
        <v>0</v>
      </c>
    </row>
    <row r="106" spans="2:8" hidden="1" outlineLevel="1">
      <c r="H106" s="112">
        <f>Table791361[[#This Row],[Sale Price]]-Table791361[[#This Row],[Purchase Price]]+Table791361[[#This Row],[Depreciation]]</f>
        <v>0</v>
      </c>
    </row>
    <row r="107" spans="2:8" hidden="1" outlineLevel="1">
      <c r="H107" s="112">
        <f>Table791361[[#This Row],[Sale Price]]-Table791361[[#This Row],[Purchase Price]]+Table791361[[#This Row],[Depreciation]]</f>
        <v>0</v>
      </c>
    </row>
    <row r="108" spans="2:8" hidden="1" outlineLevel="1">
      <c r="H108" s="112">
        <f>Table791361[[#This Row],[Sale Price]]-Table791361[[#This Row],[Purchase Price]]+Table791361[[#This Row],[Depreciation]]</f>
        <v>0</v>
      </c>
    </row>
    <row r="109" spans="2:8" hidden="1" outlineLevel="1">
      <c r="H109" s="112">
        <f>Table791361[[#This Row],[Sale Price]]-Table791361[[#This Row],[Purchase Price]]+Table791361[[#This Row],[Depreciation]]</f>
        <v>0</v>
      </c>
    </row>
    <row r="110" spans="2:8" hidden="1" outlineLevel="1">
      <c r="H110" s="112">
        <f>Table791361[[#This Row],[Sale Price]]-Table791361[[#This Row],[Purchase Price]]+Table791361[[#This Row],[Depreciation]]</f>
        <v>0</v>
      </c>
    </row>
    <row r="111" spans="2:8" hidden="1" outlineLevel="1">
      <c r="H111" s="112">
        <f>Table791361[[#This Row],[Sale Price]]-Table791361[[#This Row],[Purchase Price]]+Table791361[[#This Row],[Depreciation]]</f>
        <v>0</v>
      </c>
    </row>
    <row r="112" spans="2:8" hidden="1" outlineLevel="1">
      <c r="H112" s="112">
        <f>Table791361[[#This Row],[Sale Price]]-Table791361[[#This Row],[Purchase Price]]+Table791361[[#This Row],[Depreciation]]</f>
        <v>0</v>
      </c>
    </row>
    <row r="113" spans="8:8" hidden="1" outlineLevel="1">
      <c r="H113" s="112">
        <f>Table791361[[#This Row],[Sale Price]]-Table791361[[#This Row],[Purchase Price]]+Table791361[[#This Row],[Depreciation]]</f>
        <v>0</v>
      </c>
    </row>
    <row r="114" spans="8:8" hidden="1" outlineLevel="1">
      <c r="H114" s="112">
        <f>Table791361[[#This Row],[Sale Price]]-Table791361[[#This Row],[Purchase Price]]+Table791361[[#This Row],[Depreciation]]</f>
        <v>0</v>
      </c>
    </row>
    <row r="115" spans="8:8" hidden="1" outlineLevel="1">
      <c r="H115" s="112">
        <f>Table791361[[#This Row],[Sale Price]]-Table791361[[#This Row],[Purchase Price]]+Table791361[[#This Row],[Depreciation]]</f>
        <v>0</v>
      </c>
    </row>
    <row r="116" spans="8:8" hidden="1" outlineLevel="1">
      <c r="H116" s="112">
        <f>Table791361[[#This Row],[Sale Price]]-Table791361[[#This Row],[Purchase Price]]+Table791361[[#This Row],[Depreciation]]</f>
        <v>0</v>
      </c>
    </row>
    <row r="117" spans="8:8" hidden="1" outlineLevel="1">
      <c r="H117" s="112">
        <f>Table791361[[#This Row],[Sale Price]]-Table791361[[#This Row],[Purchase Price]]+Table791361[[#This Row],[Depreciation]]</f>
        <v>0</v>
      </c>
    </row>
    <row r="118" spans="8:8" hidden="1" outlineLevel="1">
      <c r="H118" s="112">
        <f>Table791361[[#This Row],[Sale Price]]-Table791361[[#This Row],[Purchase Price]]+Table791361[[#This Row],[Depreciation]]</f>
        <v>0</v>
      </c>
    </row>
    <row r="119" spans="8:8" hidden="1" outlineLevel="1">
      <c r="H119" s="112">
        <f>Table791361[[#This Row],[Sale Price]]-Table791361[[#This Row],[Purchase Price]]+Table791361[[#This Row],[Depreciation]]</f>
        <v>0</v>
      </c>
    </row>
    <row r="120" spans="8:8" hidden="1" outlineLevel="1">
      <c r="H120" s="112">
        <f>Table791361[[#This Row],[Sale Price]]-Table791361[[#This Row],[Purchase Price]]+Table791361[[#This Row],[Depreciation]]</f>
        <v>0</v>
      </c>
    </row>
    <row r="121" spans="8:8" hidden="1" outlineLevel="1">
      <c r="H121" s="112">
        <f>Table791361[[#This Row],[Sale Price]]-Table791361[[#This Row],[Purchase Price]]+Table791361[[#This Row],[Depreciation]]</f>
        <v>0</v>
      </c>
    </row>
    <row r="122" spans="8:8" hidden="1" outlineLevel="1">
      <c r="H122" s="112">
        <f>Table791361[[#This Row],[Sale Price]]-Table791361[[#This Row],[Purchase Price]]+Table791361[[#This Row],[Depreciation]]</f>
        <v>0</v>
      </c>
    </row>
    <row r="123" spans="8:8" collapsed="1"/>
  </sheetData>
  <mergeCells count="3">
    <mergeCell ref="B3:H3"/>
    <mergeCell ref="C6:D6"/>
    <mergeCell ref="C15:D15"/>
  </mergeCells>
  <hyperlinks>
    <hyperlink ref="C24" r:id="rId1" xr:uid="{D749DA45-8DF1-4963-85BB-F679CE34F0FD}"/>
    <hyperlink ref="G62" r:id="rId2" display="../../../../../:b:/g/personal/robert_tekna_com_au/Ebyql6B_N_dCgKqNkdq-h0IBiL39ncjtXPQfpcv4FVtMFQ?e=qcmsun" xr:uid="{65D71002-0407-4FDE-8C1B-FC3F85A3E88A}"/>
  </hyperlinks>
  <pageMargins left="0.7" right="0.7" top="0.75" bottom="0.75" header="0.3" footer="0.3"/>
  <tableParts count="4">
    <tablePart r:id="rId3"/>
    <tablePart r:id="rId4"/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4228EE-192C-4618-9958-7E26A58F7219}">
          <x14:formula1>
            <xm:f>'Document Type'!$B$49:$B$51</xm:f>
          </x14:formula1>
          <xm:sqref>C10:C11</xm:sqref>
        </x14:dataValidation>
        <x14:dataValidation type="list" allowBlank="1" showInputMessage="1" showErrorMessage="1" xr:uid="{19D3D80B-C58D-4FA3-99F1-495EFA6554D0}">
          <x14:formula1>
            <xm:f>'Document Type'!$B$45:$B$47</xm:f>
          </x14:formula1>
          <xm:sqref>C8 G8</xm:sqref>
        </x14:dataValidation>
        <x14:dataValidation type="list" allowBlank="1" showInputMessage="1" showErrorMessage="1" xr:uid="{F81722C8-43DF-4F0E-BCE5-DEE47BF1BE16}">
          <x14:formula1>
            <xm:f>'Document Type'!$B$38:$B$39</xm:f>
          </x14:formula1>
          <xm:sqref>F15 F29 G13 C13 G6</xm:sqref>
        </x14:dataValidation>
        <x14:dataValidation type="list" allowBlank="1" showInputMessage="1" showErrorMessage="1" xr:uid="{5C2467CE-FCD2-4A6D-82F6-2C2DF528C7B0}">
          <x14:formula1>
            <xm:f>'Document Type'!$B$6:$B$34</xm:f>
          </x14:formula1>
          <xm:sqref>C27:C62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9F31C-0119-46C0-8F67-C5ACB8A1CECF}">
  <dimension ref="B1:R121"/>
  <sheetViews>
    <sheetView topLeftCell="A6" workbookViewId="0">
      <selection activeCell="G27" sqref="G27"/>
    </sheetView>
  </sheetViews>
  <sheetFormatPr defaultColWidth="8.69140625" defaultRowHeight="14.6" outlineLevelRow="1"/>
  <cols>
    <col min="2" max="2" width="38.3046875" bestFit="1" customWidth="1"/>
    <col min="3" max="3" width="42.69140625" bestFit="1" customWidth="1"/>
    <col min="4" max="4" width="29.15234375" customWidth="1"/>
    <col min="5" max="5" width="18.3046875" bestFit="1" customWidth="1"/>
    <col min="6" max="6" width="28.15234375" bestFit="1" customWidth="1"/>
    <col min="7" max="7" width="46.69140625" bestFit="1" customWidth="1"/>
    <col min="8" max="8" width="36.4609375" bestFit="1" customWidth="1"/>
    <col min="9" max="9" width="17.3046875" bestFit="1" customWidth="1"/>
    <col min="10" max="10" width="20.4609375" customWidth="1"/>
    <col min="11" max="11" width="76.3046875" bestFit="1" customWidth="1"/>
    <col min="12" max="12" width="25.3046875" bestFit="1" customWidth="1"/>
  </cols>
  <sheetData>
    <row r="1" spans="2:12">
      <c r="B1" s="69" t="s">
        <v>195</v>
      </c>
    </row>
    <row r="2" spans="2:12" ht="15" thickBot="1">
      <c r="J2" t="s">
        <v>196</v>
      </c>
      <c r="K2" t="s">
        <v>197</v>
      </c>
      <c r="L2">
        <v>2024</v>
      </c>
    </row>
    <row r="3" spans="2:12" ht="26.8" customHeight="1" thickBot="1">
      <c r="B3" s="373" t="s">
        <v>198</v>
      </c>
      <c r="C3" s="374"/>
      <c r="D3" s="374"/>
      <c r="E3" s="374"/>
      <c r="F3" s="374"/>
      <c r="G3" s="374"/>
      <c r="H3" s="375"/>
      <c r="J3" t="s">
        <v>199</v>
      </c>
      <c r="K3" t="s">
        <v>200</v>
      </c>
    </row>
    <row r="4" spans="2:12" ht="17.8" customHeight="1">
      <c r="B4" s="245" t="s">
        <v>201</v>
      </c>
      <c r="C4" s="287" t="s">
        <v>181</v>
      </c>
      <c r="D4" s="273" t="s">
        <v>202</v>
      </c>
      <c r="E4" s="287" t="s">
        <v>182</v>
      </c>
      <c r="F4" s="93"/>
      <c r="G4" s="273" t="s">
        <v>203</v>
      </c>
      <c r="H4" s="287" t="s">
        <v>183</v>
      </c>
      <c r="J4" t="s">
        <v>204</v>
      </c>
      <c r="K4" t="s">
        <v>205</v>
      </c>
    </row>
    <row r="5" spans="2:12">
      <c r="B5" s="250" t="s">
        <v>206</v>
      </c>
      <c r="C5" s="254">
        <v>36655</v>
      </c>
      <c r="D5" s="254"/>
      <c r="E5" s="256"/>
      <c r="F5" s="274" t="s">
        <v>207</v>
      </c>
      <c r="G5" s="255">
        <v>1000</v>
      </c>
      <c r="H5" s="258"/>
      <c r="J5" t="s">
        <v>208</v>
      </c>
      <c r="K5" t="s">
        <v>209</v>
      </c>
    </row>
    <row r="6" spans="2:12">
      <c r="B6" s="251" t="s">
        <v>210</v>
      </c>
      <c r="C6" s="376"/>
      <c r="D6" s="376"/>
      <c r="E6" s="232"/>
      <c r="F6" s="275" t="s">
        <v>211</v>
      </c>
      <c r="G6" s="232" t="s">
        <v>212</v>
      </c>
      <c r="H6" s="276"/>
      <c r="J6" t="s">
        <v>213</v>
      </c>
      <c r="K6" t="s">
        <v>214</v>
      </c>
    </row>
    <row r="7" spans="2:12">
      <c r="B7" s="250" t="s">
        <v>215</v>
      </c>
      <c r="C7" s="256"/>
      <c r="D7" s="256"/>
      <c r="E7" s="254"/>
      <c r="F7" s="256"/>
      <c r="G7" s="256"/>
      <c r="H7" s="257"/>
      <c r="J7" t="s">
        <v>216</v>
      </c>
      <c r="K7" t="s">
        <v>217</v>
      </c>
    </row>
    <row r="8" spans="2:12">
      <c r="B8" s="249" t="s">
        <v>218</v>
      </c>
      <c r="C8" s="232" t="s">
        <v>219</v>
      </c>
      <c r="D8" s="232"/>
      <c r="E8" s="252"/>
      <c r="F8" s="275" t="s">
        <v>220</v>
      </c>
      <c r="G8" s="232" t="s">
        <v>221</v>
      </c>
      <c r="H8" s="276"/>
      <c r="J8" t="s">
        <v>222</v>
      </c>
      <c r="K8" t="s">
        <v>223</v>
      </c>
    </row>
    <row r="9" spans="2:12">
      <c r="B9" s="259"/>
      <c r="C9" s="256"/>
      <c r="D9" s="256" t="s">
        <v>224</v>
      </c>
      <c r="E9" s="254"/>
      <c r="F9" s="256"/>
      <c r="G9" s="256"/>
      <c r="H9" s="257"/>
      <c r="J9" t="s">
        <v>225</v>
      </c>
      <c r="K9" t="s">
        <v>226</v>
      </c>
    </row>
    <row r="10" spans="2:12">
      <c r="B10" s="249" t="s">
        <v>227</v>
      </c>
      <c r="C10" s="277" t="s">
        <v>228</v>
      </c>
      <c r="D10" s="252">
        <v>36655</v>
      </c>
      <c r="E10" s="232"/>
      <c r="F10" s="232"/>
      <c r="G10" s="232"/>
      <c r="H10" s="276"/>
      <c r="J10" t="s">
        <v>229</v>
      </c>
      <c r="K10" t="s">
        <v>230</v>
      </c>
    </row>
    <row r="11" spans="2:12">
      <c r="B11" s="250" t="s">
        <v>231</v>
      </c>
      <c r="C11" s="290" t="s">
        <v>228</v>
      </c>
      <c r="D11" s="254">
        <v>40875</v>
      </c>
      <c r="E11" s="256"/>
      <c r="F11" s="256"/>
      <c r="G11" s="255"/>
      <c r="H11" s="258"/>
      <c r="J11" t="s">
        <v>232</v>
      </c>
      <c r="K11" t="s">
        <v>233</v>
      </c>
    </row>
    <row r="12" spans="2:12">
      <c r="B12" s="240"/>
      <c r="C12" s="232"/>
      <c r="D12" s="232"/>
      <c r="E12" s="252"/>
      <c r="F12" s="232"/>
      <c r="G12" s="232"/>
      <c r="H12" s="276"/>
      <c r="J12" t="s">
        <v>234</v>
      </c>
      <c r="K12" t="s">
        <v>235</v>
      </c>
    </row>
    <row r="13" spans="2:12">
      <c r="B13" s="250" t="s">
        <v>236</v>
      </c>
      <c r="C13" s="256" t="s">
        <v>237</v>
      </c>
      <c r="D13" s="256"/>
      <c r="E13" s="256"/>
      <c r="F13" s="274" t="s">
        <v>238</v>
      </c>
      <c r="G13" s="256" t="s">
        <v>237</v>
      </c>
      <c r="H13" s="256"/>
      <c r="J13" t="s">
        <v>239</v>
      </c>
    </row>
    <row r="14" spans="2:12">
      <c r="B14" s="242"/>
      <c r="C14" s="233"/>
      <c r="D14" s="233"/>
      <c r="E14" s="275" t="s">
        <v>240</v>
      </c>
      <c r="F14" s="275" t="s">
        <v>241</v>
      </c>
      <c r="G14" s="232"/>
      <c r="H14" s="232"/>
      <c r="J14" t="s">
        <v>242</v>
      </c>
    </row>
    <row r="15" spans="2:12">
      <c r="B15" s="250" t="s">
        <v>243</v>
      </c>
      <c r="C15" s="378" t="s">
        <v>244</v>
      </c>
      <c r="D15" s="378"/>
      <c r="E15" s="256">
        <v>1000</v>
      </c>
      <c r="F15" s="256" t="s">
        <v>237</v>
      </c>
      <c r="G15" s="256"/>
      <c r="H15" s="256"/>
      <c r="J15" t="s">
        <v>245</v>
      </c>
    </row>
    <row r="16" spans="2:12">
      <c r="B16" s="242"/>
      <c r="C16" s="233"/>
      <c r="D16" s="233"/>
      <c r="E16" s="232"/>
      <c r="F16" s="232"/>
      <c r="G16" s="232"/>
      <c r="H16" s="232"/>
      <c r="J16" t="s">
        <v>246</v>
      </c>
    </row>
    <row r="17" spans="2:10">
      <c r="B17" s="250" t="s">
        <v>247</v>
      </c>
      <c r="C17" s="274" t="s">
        <v>248</v>
      </c>
      <c r="D17" s="274" t="s">
        <v>82</v>
      </c>
      <c r="E17" s="300" t="s">
        <v>83</v>
      </c>
      <c r="F17" s="274" t="s">
        <v>249</v>
      </c>
      <c r="G17" s="255"/>
      <c r="H17" s="255"/>
      <c r="J17" t="s">
        <v>250</v>
      </c>
    </row>
    <row r="18" spans="2:10">
      <c r="B18" s="240"/>
      <c r="C18" s="232" t="s">
        <v>251</v>
      </c>
      <c r="D18" s="297" t="s">
        <v>252</v>
      </c>
      <c r="E18" s="297">
        <v>513642009</v>
      </c>
      <c r="F18" s="305">
        <v>44768</v>
      </c>
      <c r="G18" s="232"/>
      <c r="H18" s="232"/>
      <c r="J18" t="s">
        <v>253</v>
      </c>
    </row>
    <row r="19" spans="2:10">
      <c r="B19" s="259"/>
      <c r="C19" s="256" t="s">
        <v>254</v>
      </c>
      <c r="D19" s="304" t="s">
        <v>255</v>
      </c>
      <c r="E19" s="304">
        <v>304658188</v>
      </c>
      <c r="F19" s="304"/>
      <c r="G19" s="256"/>
      <c r="H19" s="256"/>
      <c r="J19" t="s">
        <v>256</v>
      </c>
    </row>
    <row r="20" spans="2:10">
      <c r="B20" s="240"/>
      <c r="C20" s="232"/>
      <c r="D20" s="232"/>
      <c r="E20" s="252"/>
      <c r="F20" s="232"/>
      <c r="G20" s="232"/>
      <c r="H20" s="232"/>
      <c r="J20" t="s">
        <v>257</v>
      </c>
    </row>
    <row r="21" spans="2:10">
      <c r="B21" s="259"/>
      <c r="C21" s="256"/>
      <c r="D21" s="256"/>
      <c r="E21" s="254"/>
      <c r="F21" s="256"/>
      <c r="G21" s="256"/>
      <c r="H21" s="256"/>
      <c r="J21" t="s">
        <v>258</v>
      </c>
    </row>
    <row r="22" spans="2:10">
      <c r="B22" s="240"/>
      <c r="C22" s="232"/>
      <c r="D22" s="232"/>
      <c r="E22" s="252"/>
      <c r="F22" s="232"/>
      <c r="G22" s="232"/>
      <c r="H22" s="232"/>
    </row>
    <row r="24" spans="2:10">
      <c r="B24" t="s">
        <v>259</v>
      </c>
      <c r="C24" s="69" t="s">
        <v>178</v>
      </c>
      <c r="D24" t="s">
        <v>260</v>
      </c>
      <c r="E24" t="s">
        <v>261</v>
      </c>
    </row>
    <row r="26" spans="2:10" ht="15.9">
      <c r="B26" s="170" t="s">
        <v>262</v>
      </c>
      <c r="C26" s="170" t="s">
        <v>263</v>
      </c>
      <c r="D26" s="170" t="s">
        <v>264</v>
      </c>
      <c r="E26" s="170" t="s">
        <v>265</v>
      </c>
      <c r="F26" s="170" t="s">
        <v>266</v>
      </c>
      <c r="G26" s="170" t="s">
        <v>267</v>
      </c>
      <c r="H26" s="170" t="s">
        <v>268</v>
      </c>
      <c r="J26" s="170" t="s">
        <v>269</v>
      </c>
    </row>
    <row r="27" spans="2:10" outlineLevel="1">
      <c r="B27" s="14" t="s">
        <v>270</v>
      </c>
      <c r="C27" t="s">
        <v>253</v>
      </c>
      <c r="D27" t="str">
        <f>VLOOKUP(C27,'Document Type'!$B$6:$C$34,2,FALSE)</f>
        <v>General</v>
      </c>
      <c r="E27" s="218">
        <v>45471</v>
      </c>
      <c r="G27" s="14" t="s">
        <v>271</v>
      </c>
    </row>
    <row r="28" spans="2:10" outlineLevel="1">
      <c r="B28" t="s">
        <v>272</v>
      </c>
      <c r="C28" t="s">
        <v>234</v>
      </c>
      <c r="D28" t="str">
        <f>VLOOKUP(C28,'Document Type'!$B$6:$C$34,2,FALSE)</f>
        <v>General</v>
      </c>
      <c r="E28" s="218">
        <v>45471</v>
      </c>
      <c r="G28" s="14" t="s">
        <v>273</v>
      </c>
    </row>
    <row r="29" spans="2:10" outlineLevel="1">
      <c r="B29" t="s">
        <v>274</v>
      </c>
      <c r="C29" t="s">
        <v>245</v>
      </c>
      <c r="D29" t="str">
        <f>VLOOKUP(C29,'Document Type'!$B$6:$C$34,2,FALSE)</f>
        <v>General</v>
      </c>
      <c r="G29" t="s">
        <v>275</v>
      </c>
    </row>
    <row r="30" spans="2:10" outlineLevel="1">
      <c r="B30" t="s">
        <v>276</v>
      </c>
      <c r="C30" t="s">
        <v>245</v>
      </c>
      <c r="D30" t="str">
        <f>VLOOKUP(C30,'Document Type'!$B$6:$C$34,2,FALSE)</f>
        <v>General</v>
      </c>
      <c r="G30" t="s">
        <v>277</v>
      </c>
    </row>
    <row r="31" spans="2:10" outlineLevel="1">
      <c r="B31" t="s">
        <v>278</v>
      </c>
      <c r="C31" t="s">
        <v>204</v>
      </c>
      <c r="D31" t="str">
        <f>VLOOKUP(C31,'Document Type'!$B$6:$C$34,2,FALSE)</f>
        <v>Company Setup</v>
      </c>
      <c r="E31" s="218">
        <v>36655</v>
      </c>
      <c r="G31" t="s">
        <v>279</v>
      </c>
    </row>
    <row r="32" spans="2:10" outlineLevel="1">
      <c r="B32" t="s">
        <v>280</v>
      </c>
      <c r="C32" t="s">
        <v>213</v>
      </c>
      <c r="D32" t="str">
        <f>VLOOKUP(C32,'Document Type'!$B$6:$C$34,2,FALSE)</f>
        <v>Constitution</v>
      </c>
      <c r="E32" s="218">
        <v>36655</v>
      </c>
      <c r="G32" s="69" t="s">
        <v>281</v>
      </c>
    </row>
    <row r="33" spans="2:7" outlineLevel="1">
      <c r="B33" t="s">
        <v>282</v>
      </c>
      <c r="C33" t="s">
        <v>216</v>
      </c>
      <c r="D33" t="str">
        <f>VLOOKUP(C33,'Document Type'!$B$6:$C$34,2,FALSE)</f>
        <v>Register of Members</v>
      </c>
      <c r="E33" s="218">
        <v>36655</v>
      </c>
      <c r="G33" t="s">
        <v>283</v>
      </c>
    </row>
    <row r="34" spans="2:7" outlineLevel="1">
      <c r="B34" t="s">
        <v>284</v>
      </c>
      <c r="C34" t="s">
        <v>242</v>
      </c>
      <c r="D34" t="str">
        <f>VLOOKUP(C34,'Document Type'!$B$6:$C$34,2,FALSE)</f>
        <v>General</v>
      </c>
      <c r="E34" s="218">
        <v>44497</v>
      </c>
      <c r="G34" t="s">
        <v>285</v>
      </c>
    </row>
    <row r="35" spans="2:7" outlineLevel="1">
      <c r="B35" t="s">
        <v>286</v>
      </c>
      <c r="C35" t="s">
        <v>287</v>
      </c>
      <c r="D35" t="str">
        <f>VLOOKUP(C35,'Document Type'!$B$6:$C$34,2,FALSE)</f>
        <v>General</v>
      </c>
      <c r="E35" s="218">
        <v>44159</v>
      </c>
      <c r="G35" t="s">
        <v>288</v>
      </c>
    </row>
    <row r="36" spans="2:7" outlineLevel="1">
      <c r="D36" t="e">
        <f>VLOOKUP(C36,'Document Type'!$B$6:$C$34,2,FALSE)</f>
        <v>#N/A</v>
      </c>
    </row>
    <row r="37" spans="2:7" outlineLevel="1">
      <c r="D37" t="e">
        <f>VLOOKUP(C37,'Document Type'!$B$6:$C$34,2,FALSE)</f>
        <v>#N/A</v>
      </c>
    </row>
    <row r="38" spans="2:7" outlineLevel="1">
      <c r="D38" t="e">
        <f>VLOOKUP(C38,'Document Type'!$B$6:$C$34,2,FALSE)</f>
        <v>#N/A</v>
      </c>
    </row>
    <row r="39" spans="2:7" outlineLevel="1">
      <c r="D39" t="e">
        <f>VLOOKUP(C39,'Document Type'!$B$6:$C$34,2,FALSE)</f>
        <v>#N/A</v>
      </c>
    </row>
    <row r="40" spans="2:7" outlineLevel="1">
      <c r="D40" t="e">
        <f>VLOOKUP(C40,'Document Type'!$B$6:$C$34,2,FALSE)</f>
        <v>#N/A</v>
      </c>
    </row>
    <row r="41" spans="2:7" outlineLevel="1">
      <c r="D41" t="e">
        <f>VLOOKUP(C41,'Document Type'!$B$6:$C$34,2,FALSE)</f>
        <v>#N/A</v>
      </c>
    </row>
    <row r="42" spans="2:7" outlineLevel="1">
      <c r="D42" t="e">
        <f>VLOOKUP(C42,'Document Type'!$B$6:$C$34,2,FALSE)</f>
        <v>#N/A</v>
      </c>
    </row>
    <row r="43" spans="2:7" outlineLevel="1">
      <c r="D43" t="e">
        <f>VLOOKUP(C43,'Document Type'!$B$6:$C$34,2,FALSE)</f>
        <v>#N/A</v>
      </c>
    </row>
    <row r="44" spans="2:7" outlineLevel="1">
      <c r="D44" t="e">
        <f>VLOOKUP(C44,'Document Type'!$B$6:$C$34,2,FALSE)</f>
        <v>#N/A</v>
      </c>
    </row>
    <row r="45" spans="2:7" outlineLevel="1">
      <c r="D45" t="e">
        <f>VLOOKUP(C45,'Document Type'!$B$6:$C$34,2,FALSE)</f>
        <v>#N/A</v>
      </c>
    </row>
    <row r="46" spans="2:7" outlineLevel="1">
      <c r="D46" t="e">
        <f>VLOOKUP(C46,'Document Type'!$B$6:$C$34,2,FALSE)</f>
        <v>#N/A</v>
      </c>
    </row>
    <row r="47" spans="2:7" outlineLevel="1">
      <c r="D47" t="e">
        <f>VLOOKUP(C47,'Document Type'!$B$6:$C$34,2,FALSE)</f>
        <v>#N/A</v>
      </c>
    </row>
    <row r="48" spans="2:7" outlineLevel="1">
      <c r="D48" t="e">
        <f>VLOOKUP(C48,'Document Type'!$B$6:$C$34,2,FALSE)</f>
        <v>#N/A</v>
      </c>
    </row>
    <row r="49" spans="2:18" outlineLevel="1">
      <c r="D49" t="e">
        <f>VLOOKUP(C49,'Document Type'!$B$6:$C$34,2,FALSE)</f>
        <v>#N/A</v>
      </c>
    </row>
    <row r="50" spans="2:18" outlineLevel="1">
      <c r="D50" t="e">
        <f>VLOOKUP(C50,'Document Type'!$B$6:$C$34,2,FALSE)</f>
        <v>#N/A</v>
      </c>
    </row>
    <row r="51" spans="2:18" outlineLevel="1">
      <c r="D51" t="e">
        <f>VLOOKUP(C51,'Document Type'!$B$6:$C$34,2,FALSE)</f>
        <v>#N/A</v>
      </c>
    </row>
    <row r="52" spans="2:18" outlineLevel="1">
      <c r="D52" t="e">
        <f>VLOOKUP(C52,'Document Type'!$B$6:$C$34,2,FALSE)</f>
        <v>#N/A</v>
      </c>
    </row>
    <row r="53" spans="2:18" outlineLevel="1">
      <c r="D53" t="e">
        <f>VLOOKUP(C53,'Document Type'!$B$6:$C$34,2,FALSE)</f>
        <v>#N/A</v>
      </c>
    </row>
    <row r="54" spans="2:18" outlineLevel="1">
      <c r="D54" t="e">
        <f>VLOOKUP(C54,'Document Type'!$B$6:$C$34,2,FALSE)</f>
        <v>#N/A</v>
      </c>
    </row>
    <row r="55" spans="2:18" outlineLevel="1">
      <c r="D55" t="e">
        <f>VLOOKUP(C55,'Document Type'!$B$6:$C$34,2,FALSE)</f>
        <v>#N/A</v>
      </c>
    </row>
    <row r="56" spans="2:18" outlineLevel="1">
      <c r="D56" t="e">
        <f>VLOOKUP(C56,'Document Type'!$B$6:$C$34,2,FALSE)</f>
        <v>#N/A</v>
      </c>
    </row>
    <row r="57" spans="2:18" outlineLevel="1">
      <c r="D57" t="e">
        <f>VLOOKUP(C57,'Document Type'!$B$6:$C$34,2,FALSE)</f>
        <v>#N/A</v>
      </c>
    </row>
    <row r="58" spans="2:18" outlineLevel="1">
      <c r="D58" t="e">
        <f>VLOOKUP(C58,'Document Type'!$B$6:$C$34,2,FALSE)</f>
        <v>#N/A</v>
      </c>
    </row>
    <row r="59" spans="2:18" outlineLevel="1">
      <c r="D59" t="e">
        <f>VLOOKUP(C59,'Document Type'!$B$6:$C$34,2,FALSE)</f>
        <v>#N/A</v>
      </c>
    </row>
    <row r="60" spans="2:18" outlineLevel="1">
      <c r="D60" t="e">
        <f>VLOOKUP(C60,'Document Type'!$B$6:$C$34,2,FALSE)</f>
        <v>#N/A</v>
      </c>
    </row>
    <row r="61" spans="2:18" outlineLevel="1">
      <c r="D61" t="e">
        <f>VLOOKUP(C61,'Document Type'!$B$6:$C$34,2,FALSE)</f>
        <v>#N/A</v>
      </c>
    </row>
    <row r="63" spans="2:18" ht="15.9">
      <c r="B63" s="170" t="s">
        <v>289</v>
      </c>
    </row>
    <row r="64" spans="2:18">
      <c r="B64" s="350" t="s">
        <v>265</v>
      </c>
      <c r="C64" s="350" t="s">
        <v>290</v>
      </c>
      <c r="D64" s="350" t="s">
        <v>291</v>
      </c>
      <c r="E64" s="351" t="s">
        <v>292</v>
      </c>
      <c r="F64" s="350" t="s">
        <v>293</v>
      </c>
      <c r="G64" s="350" t="s">
        <v>294</v>
      </c>
      <c r="H64" s="352" t="s">
        <v>295</v>
      </c>
      <c r="I64" s="353" t="s">
        <v>296</v>
      </c>
      <c r="J64" s="354" t="s">
        <v>297</v>
      </c>
      <c r="K64" s="199" t="s">
        <v>298</v>
      </c>
      <c r="L64" s="199" t="s">
        <v>299</v>
      </c>
      <c r="M64" s="199" t="s">
        <v>300</v>
      </c>
      <c r="N64" s="354" t="s">
        <v>301</v>
      </c>
      <c r="O64" s="199" t="s">
        <v>302</v>
      </c>
      <c r="P64" s="199" t="s">
        <v>303</v>
      </c>
      <c r="Q64" s="199" t="s">
        <v>304</v>
      </c>
      <c r="R64" s="199"/>
    </row>
    <row r="65" spans="2:17" hidden="1" outlineLevel="1">
      <c r="B65" s="140"/>
      <c r="C65" s="93"/>
      <c r="D65" s="93"/>
      <c r="E65" s="93"/>
      <c r="F65" s="93"/>
      <c r="G65" s="93"/>
      <c r="H65" s="93"/>
      <c r="I65" s="93"/>
      <c r="J65" s="209"/>
      <c r="K65" s="93"/>
      <c r="L65" s="93"/>
      <c r="M65" s="93"/>
      <c r="N65" s="209"/>
      <c r="O65" s="93"/>
      <c r="P65" s="93"/>
      <c r="Q65" s="93"/>
    </row>
    <row r="66" spans="2:17" hidden="1" outlineLevel="1">
      <c r="B66" s="140"/>
      <c r="C66" s="93"/>
      <c r="D66" s="93"/>
      <c r="E66" s="93"/>
      <c r="F66" s="93"/>
      <c r="G66" s="93"/>
      <c r="H66" s="93"/>
      <c r="I66" s="93"/>
      <c r="J66" s="209"/>
      <c r="K66" s="93"/>
      <c r="L66" s="93"/>
      <c r="M66" s="93"/>
      <c r="N66" s="209"/>
      <c r="O66" s="93"/>
      <c r="P66" s="93"/>
      <c r="Q66" s="93"/>
    </row>
    <row r="67" spans="2:17" hidden="1" outlineLevel="1">
      <c r="B67" s="140"/>
      <c r="C67" s="93"/>
      <c r="D67" s="93"/>
      <c r="E67" s="93"/>
      <c r="F67" s="93"/>
      <c r="G67" s="93"/>
      <c r="H67" s="93"/>
      <c r="I67" s="93"/>
      <c r="J67" s="209"/>
      <c r="K67" s="93"/>
      <c r="L67" s="93"/>
      <c r="M67" s="93"/>
      <c r="N67" s="209"/>
      <c r="O67" s="93"/>
      <c r="P67" s="93"/>
      <c r="Q67" s="93"/>
    </row>
    <row r="68" spans="2:17" hidden="1" outlineLevel="1">
      <c r="B68" s="140"/>
      <c r="C68" s="93"/>
      <c r="D68" s="93"/>
      <c r="E68" s="93"/>
      <c r="F68" s="93"/>
      <c r="G68" s="93"/>
      <c r="H68" s="93"/>
      <c r="I68" s="93"/>
      <c r="J68" s="209"/>
      <c r="K68" s="93"/>
      <c r="L68" s="93"/>
      <c r="M68" s="93"/>
      <c r="N68" s="209"/>
      <c r="O68" s="93"/>
      <c r="P68" s="93"/>
      <c r="Q68" s="93"/>
    </row>
    <row r="69" spans="2:17" hidden="1" outlineLevel="1">
      <c r="B69" s="140"/>
      <c r="C69" s="93"/>
      <c r="D69" s="93"/>
      <c r="E69" s="93"/>
      <c r="F69" s="93"/>
      <c r="G69" s="93"/>
      <c r="H69" s="93"/>
      <c r="I69" s="93"/>
      <c r="J69" s="209"/>
      <c r="K69" s="93"/>
      <c r="L69" s="93"/>
      <c r="M69" s="93"/>
      <c r="N69" s="209"/>
      <c r="O69" s="93"/>
      <c r="P69" s="93"/>
      <c r="Q69" s="93"/>
    </row>
    <row r="70" spans="2:17" hidden="1" outlineLevel="1">
      <c r="B70" s="140"/>
      <c r="C70" s="93"/>
      <c r="D70" s="93"/>
      <c r="E70" s="93"/>
      <c r="F70" s="93"/>
      <c r="G70" s="93"/>
      <c r="H70" s="93"/>
      <c r="I70" s="93"/>
      <c r="J70" s="209"/>
      <c r="K70" s="93"/>
      <c r="L70" s="93"/>
      <c r="M70" s="93"/>
      <c r="N70" s="209"/>
      <c r="O70" s="93"/>
      <c r="P70" s="93"/>
      <c r="Q70" s="93"/>
    </row>
    <row r="71" spans="2:17" hidden="1" outlineLevel="1">
      <c r="B71" s="140"/>
      <c r="C71" s="93"/>
      <c r="D71" s="93"/>
      <c r="E71" s="93"/>
      <c r="F71" s="93"/>
      <c r="G71" s="93"/>
      <c r="H71" s="93"/>
      <c r="I71" s="93"/>
      <c r="J71" s="209"/>
      <c r="K71" s="93"/>
      <c r="L71" s="93"/>
      <c r="M71" s="93"/>
      <c r="N71" s="209"/>
      <c r="O71" s="93"/>
      <c r="P71" s="93"/>
      <c r="Q71" s="93"/>
    </row>
    <row r="72" spans="2:17" hidden="1" outlineLevel="1">
      <c r="B72" s="140"/>
      <c r="C72" s="93"/>
      <c r="D72" s="93"/>
      <c r="E72" s="93"/>
      <c r="F72" s="93"/>
      <c r="G72" s="93"/>
      <c r="H72" s="93"/>
      <c r="I72" s="93"/>
      <c r="J72" s="209"/>
      <c r="K72" s="93"/>
      <c r="L72" s="93"/>
      <c r="M72" s="93"/>
      <c r="N72" s="209"/>
      <c r="O72" s="93"/>
      <c r="P72" s="93"/>
      <c r="Q72" s="93"/>
    </row>
    <row r="73" spans="2:17" hidden="1" outlineLevel="1">
      <c r="B73" s="140"/>
      <c r="C73" s="93"/>
      <c r="D73" s="93"/>
      <c r="E73" s="93"/>
      <c r="F73" s="93"/>
      <c r="G73" s="93"/>
      <c r="H73" s="93"/>
      <c r="I73" s="93"/>
      <c r="J73" s="209"/>
      <c r="K73" s="93"/>
      <c r="L73" s="93"/>
      <c r="M73" s="93"/>
      <c r="N73" s="209"/>
      <c r="O73" s="93"/>
      <c r="P73" s="93"/>
      <c r="Q73" s="93"/>
    </row>
    <row r="74" spans="2:17" hidden="1" outlineLevel="1">
      <c r="B74" s="140"/>
      <c r="C74" s="93"/>
      <c r="D74" s="93"/>
      <c r="E74" s="93"/>
      <c r="F74" s="93"/>
      <c r="G74" s="93"/>
      <c r="H74" s="93"/>
      <c r="I74" s="93"/>
      <c r="J74" s="209"/>
      <c r="K74" s="93"/>
      <c r="L74" s="93"/>
      <c r="M74" s="93"/>
      <c r="N74" s="209"/>
      <c r="O74" s="93"/>
      <c r="P74" s="93"/>
      <c r="Q74" s="93"/>
    </row>
    <row r="75" spans="2:17" hidden="1" outlineLevel="1">
      <c r="B75" s="140"/>
      <c r="C75" s="93"/>
      <c r="D75" s="93"/>
      <c r="E75" s="93"/>
      <c r="F75" s="93"/>
      <c r="G75" s="93"/>
      <c r="H75" s="93"/>
      <c r="I75" s="93"/>
      <c r="J75" s="209"/>
      <c r="K75" s="93"/>
      <c r="L75" s="93"/>
      <c r="M75" s="93"/>
      <c r="N75" s="209"/>
      <c r="O75" s="93"/>
      <c r="P75" s="93"/>
      <c r="Q75" s="93"/>
    </row>
    <row r="76" spans="2:17" hidden="1" outlineLevel="1">
      <c r="B76" s="140"/>
      <c r="C76" s="93"/>
      <c r="D76" s="93"/>
      <c r="E76" s="93"/>
      <c r="F76" s="93"/>
      <c r="G76" s="93"/>
      <c r="H76" s="93"/>
      <c r="I76" s="93"/>
      <c r="J76" s="209"/>
      <c r="K76" s="93"/>
      <c r="L76" s="93"/>
      <c r="M76" s="93"/>
      <c r="N76" s="209"/>
      <c r="O76" s="93"/>
      <c r="P76" s="93"/>
      <c r="Q76" s="93"/>
    </row>
    <row r="77" spans="2:17" hidden="1" outlineLevel="1">
      <c r="B77" s="140"/>
      <c r="C77" s="93"/>
      <c r="D77" s="93"/>
      <c r="E77" s="93"/>
      <c r="F77" s="93"/>
      <c r="G77" s="93"/>
      <c r="H77" s="93"/>
      <c r="I77" s="93"/>
      <c r="J77" s="209"/>
      <c r="K77" s="93"/>
      <c r="L77" s="93"/>
      <c r="M77" s="93"/>
      <c r="N77" s="209"/>
      <c r="O77" s="93"/>
      <c r="P77" s="93"/>
      <c r="Q77" s="93"/>
    </row>
    <row r="78" spans="2:17" hidden="1" outlineLevel="1">
      <c r="B78" s="140"/>
      <c r="C78" s="93"/>
      <c r="D78" s="93"/>
      <c r="E78" s="93"/>
      <c r="F78" s="93"/>
      <c r="G78" s="93"/>
      <c r="H78" s="93"/>
      <c r="I78" s="93"/>
      <c r="J78" s="209"/>
      <c r="K78" s="93"/>
      <c r="L78" s="93"/>
      <c r="M78" s="93"/>
      <c r="N78" s="209"/>
      <c r="O78" s="93"/>
      <c r="P78" s="93"/>
      <c r="Q78" s="93"/>
    </row>
    <row r="79" spans="2:17" hidden="1" outlineLevel="1">
      <c r="B79" s="140"/>
      <c r="C79" s="93"/>
      <c r="D79" s="93"/>
      <c r="E79" s="93"/>
      <c r="F79" s="93"/>
      <c r="G79" s="93"/>
      <c r="H79" s="93"/>
      <c r="I79" s="93"/>
      <c r="J79" s="209"/>
      <c r="K79" s="93"/>
      <c r="L79" s="93"/>
      <c r="M79" s="93"/>
      <c r="N79" s="209"/>
      <c r="O79" s="93"/>
      <c r="P79" s="93"/>
      <c r="Q79" s="93"/>
    </row>
    <row r="80" spans="2:17" hidden="1" outlineLevel="1">
      <c r="B80" s="140"/>
      <c r="C80" s="93"/>
      <c r="D80" s="93"/>
      <c r="E80" s="93"/>
      <c r="F80" s="93"/>
      <c r="G80" s="93"/>
      <c r="H80" s="93"/>
      <c r="I80" s="93"/>
      <c r="J80" s="209"/>
      <c r="K80" s="93"/>
      <c r="L80" s="93"/>
      <c r="M80" s="93"/>
      <c r="N80" s="209"/>
      <c r="O80" s="93"/>
      <c r="P80" s="93"/>
      <c r="Q80" s="93"/>
    </row>
    <row r="81" spans="2:17" hidden="1" outlineLevel="1">
      <c r="B81" s="140"/>
      <c r="C81" s="93"/>
      <c r="D81" s="93"/>
      <c r="E81" s="93"/>
      <c r="F81" s="93"/>
      <c r="G81" s="93"/>
      <c r="H81" s="93"/>
      <c r="I81" s="93"/>
      <c r="J81" s="209"/>
      <c r="K81" s="93"/>
      <c r="L81" s="93"/>
      <c r="M81" s="93"/>
      <c r="N81" s="209"/>
      <c r="O81" s="93"/>
      <c r="P81" s="93"/>
      <c r="Q81" s="93"/>
    </row>
    <row r="82" spans="2:17" hidden="1" outlineLevel="1">
      <c r="B82" s="140"/>
      <c r="C82" s="93"/>
      <c r="D82" s="93"/>
      <c r="E82" s="93"/>
      <c r="F82" s="93"/>
      <c r="G82" s="93"/>
      <c r="H82" s="93"/>
      <c r="I82" s="93"/>
      <c r="J82" s="209"/>
      <c r="K82" s="93"/>
      <c r="L82" s="93"/>
      <c r="M82" s="93"/>
      <c r="N82" s="209"/>
      <c r="O82" s="93"/>
      <c r="P82" s="93"/>
      <c r="Q82" s="93"/>
    </row>
    <row r="83" spans="2:17" hidden="1" outlineLevel="1">
      <c r="B83" s="93"/>
      <c r="C83" s="93"/>
      <c r="D83" s="93"/>
      <c r="E83" s="93"/>
      <c r="F83" s="93"/>
      <c r="G83" s="93"/>
      <c r="H83" s="93"/>
      <c r="I83" s="93"/>
      <c r="J83" s="209"/>
      <c r="K83" s="93"/>
      <c r="L83" s="93"/>
      <c r="M83" s="93"/>
      <c r="N83" s="209"/>
      <c r="O83" s="93"/>
      <c r="P83" s="93"/>
      <c r="Q83" s="93"/>
    </row>
    <row r="84" spans="2:17" hidden="1" outlineLevel="1">
      <c r="B84" s="93"/>
      <c r="C84" s="93"/>
      <c r="D84" s="93"/>
      <c r="E84" s="93"/>
      <c r="F84" s="93"/>
      <c r="G84" s="93"/>
      <c r="H84" s="93"/>
      <c r="I84" s="93"/>
      <c r="J84" s="209"/>
      <c r="K84" s="93"/>
      <c r="L84" s="93"/>
      <c r="M84" s="93"/>
      <c r="N84" s="209"/>
      <c r="O84" s="93"/>
      <c r="P84" s="93"/>
      <c r="Q84" s="93"/>
    </row>
    <row r="85" spans="2:17" hidden="1" outlineLevel="1">
      <c r="B85" s="93"/>
      <c r="C85" s="93"/>
      <c r="D85" s="93"/>
      <c r="E85" s="93"/>
      <c r="F85" s="93"/>
      <c r="G85" s="93"/>
      <c r="H85" s="93"/>
      <c r="I85" s="93"/>
      <c r="J85" s="209"/>
      <c r="K85" s="93"/>
      <c r="L85" s="93"/>
      <c r="M85" s="93"/>
      <c r="N85" s="209"/>
      <c r="O85" s="93"/>
      <c r="P85" s="93"/>
      <c r="Q85" s="93"/>
    </row>
    <row r="86" spans="2:17" hidden="1" outlineLevel="1">
      <c r="B86" s="93"/>
      <c r="C86" s="93"/>
      <c r="D86" s="93"/>
      <c r="E86" s="93"/>
      <c r="F86" s="93"/>
      <c r="G86" s="93"/>
      <c r="H86" s="93"/>
      <c r="I86" s="93"/>
      <c r="J86" s="209"/>
      <c r="K86" s="93"/>
      <c r="L86" s="93"/>
      <c r="M86" s="93"/>
      <c r="N86" s="209"/>
      <c r="O86" s="93"/>
      <c r="P86" s="93"/>
      <c r="Q86" s="93"/>
    </row>
    <row r="87" spans="2:17" hidden="1" outlineLevel="1">
      <c r="B87" s="93"/>
      <c r="C87" s="93"/>
      <c r="D87" s="93"/>
      <c r="E87" s="93"/>
      <c r="F87" s="93"/>
      <c r="G87" s="93"/>
      <c r="H87" s="93"/>
      <c r="I87" s="93"/>
      <c r="J87" s="209"/>
      <c r="K87" s="93"/>
      <c r="L87" s="93"/>
      <c r="M87" s="93"/>
      <c r="N87" s="209"/>
      <c r="O87" s="93"/>
      <c r="P87" s="93"/>
      <c r="Q87" s="93"/>
    </row>
    <row r="88" spans="2:17" hidden="1" outlineLevel="1">
      <c r="B88" s="93"/>
      <c r="C88" s="93"/>
      <c r="D88" s="93"/>
      <c r="E88" s="93"/>
      <c r="F88" s="93"/>
      <c r="G88" s="93"/>
      <c r="H88" s="93"/>
      <c r="I88" s="93"/>
      <c r="J88" s="209"/>
      <c r="K88" s="93"/>
      <c r="L88" s="93"/>
      <c r="M88" s="93"/>
      <c r="N88" s="209"/>
      <c r="O88" s="93"/>
      <c r="P88" s="93"/>
      <c r="Q88" s="93"/>
    </row>
    <row r="89" spans="2:17" hidden="1" outlineLevel="1">
      <c r="B89" s="93"/>
      <c r="C89" s="93"/>
      <c r="D89" s="93"/>
      <c r="E89" s="93"/>
      <c r="F89" s="93"/>
      <c r="G89" s="93"/>
      <c r="H89" s="93"/>
      <c r="I89" s="93"/>
      <c r="J89" s="209"/>
      <c r="K89" s="93"/>
      <c r="L89" s="93"/>
      <c r="M89" s="93"/>
      <c r="N89" s="209"/>
      <c r="O89" s="93"/>
      <c r="P89" s="93"/>
      <c r="Q89" s="93"/>
    </row>
    <row r="90" spans="2:17" hidden="1" outlineLevel="1">
      <c r="B90" s="93"/>
      <c r="C90" s="93"/>
      <c r="D90" s="93"/>
      <c r="E90" s="93"/>
      <c r="F90" s="93"/>
      <c r="G90" s="93"/>
      <c r="H90" s="93"/>
      <c r="I90" s="93"/>
      <c r="J90" s="209"/>
      <c r="K90" s="93"/>
      <c r="L90" s="93"/>
      <c r="M90" s="93"/>
      <c r="N90" s="209"/>
      <c r="O90" s="93"/>
      <c r="P90" s="93"/>
      <c r="Q90" s="93"/>
    </row>
    <row r="91" spans="2:17" collapsed="1"/>
    <row r="92" spans="2:17" ht="15.9">
      <c r="B92" s="170" t="s">
        <v>305</v>
      </c>
    </row>
    <row r="93" spans="2:17">
      <c r="B93" t="s">
        <v>224</v>
      </c>
      <c r="C93" t="s">
        <v>306</v>
      </c>
      <c r="D93" t="s">
        <v>307</v>
      </c>
      <c r="E93" t="s">
        <v>265</v>
      </c>
      <c r="F93" t="s">
        <v>308</v>
      </c>
      <c r="G93" t="s">
        <v>256</v>
      </c>
    </row>
    <row r="94" spans="2:17" hidden="1" outlineLevel="1">
      <c r="D94" s="112"/>
      <c r="E94" s="218"/>
    </row>
    <row r="95" spans="2:17" hidden="1" outlineLevel="1">
      <c r="D95" s="112"/>
      <c r="E95" s="218"/>
    </row>
    <row r="96" spans="2:17" hidden="1" outlineLevel="1">
      <c r="D96" s="112"/>
      <c r="E96" s="218"/>
    </row>
    <row r="97" spans="2:7" hidden="1" outlineLevel="1">
      <c r="D97" s="112"/>
      <c r="E97" s="218"/>
    </row>
    <row r="98" spans="2:7" hidden="1" outlineLevel="1">
      <c r="D98" s="112"/>
    </row>
    <row r="99" spans="2:7" hidden="1" outlineLevel="1">
      <c r="D99" s="112"/>
    </row>
    <row r="100" spans="2:7" collapsed="1"/>
    <row r="101" spans="2:7" ht="15.9">
      <c r="B101" s="170" t="s">
        <v>309</v>
      </c>
    </row>
    <row r="102" spans="2:7">
      <c r="B102" t="s">
        <v>310</v>
      </c>
      <c r="C102" t="s">
        <v>311</v>
      </c>
      <c r="D102" t="s">
        <v>312</v>
      </c>
      <c r="E102" t="s">
        <v>313</v>
      </c>
      <c r="F102" t="s">
        <v>314</v>
      </c>
      <c r="G102" t="s">
        <v>315</v>
      </c>
    </row>
    <row r="103" spans="2:7" hidden="1" outlineLevel="1">
      <c r="G103">
        <f>Table791358[[#This Row],[Purchase Price]]-Table791358[[#This Row],[Sale Price]]</f>
        <v>0</v>
      </c>
    </row>
    <row r="104" spans="2:7" hidden="1" outlineLevel="1">
      <c r="G104">
        <f>Table791358[[#This Row],[Purchase Price]]-Table791358[[#This Row],[Sale Price]]</f>
        <v>0</v>
      </c>
    </row>
    <row r="105" spans="2:7" hidden="1" outlineLevel="1">
      <c r="G105">
        <f>Table791358[[#This Row],[Purchase Price]]-Table791358[[#This Row],[Sale Price]]</f>
        <v>0</v>
      </c>
    </row>
    <row r="106" spans="2:7" hidden="1" outlineLevel="1">
      <c r="G106">
        <f>Table791358[[#This Row],[Purchase Price]]-Table791358[[#This Row],[Sale Price]]</f>
        <v>0</v>
      </c>
    </row>
    <row r="107" spans="2:7" hidden="1" outlineLevel="1">
      <c r="G107">
        <f>Table791358[[#This Row],[Purchase Price]]-Table791358[[#This Row],[Sale Price]]</f>
        <v>0</v>
      </c>
    </row>
    <row r="108" spans="2:7" hidden="1" outlineLevel="1">
      <c r="G108">
        <f>Table791358[[#This Row],[Purchase Price]]-Table791358[[#This Row],[Sale Price]]</f>
        <v>0</v>
      </c>
    </row>
    <row r="109" spans="2:7" hidden="1" outlineLevel="1">
      <c r="G109">
        <f>Table791358[[#This Row],[Purchase Price]]-Table791358[[#This Row],[Sale Price]]</f>
        <v>0</v>
      </c>
    </row>
    <row r="110" spans="2:7" hidden="1" outlineLevel="1">
      <c r="G110">
        <f>Table791358[[#This Row],[Purchase Price]]-Table791358[[#This Row],[Sale Price]]</f>
        <v>0</v>
      </c>
    </row>
    <row r="111" spans="2:7" hidden="1" outlineLevel="1">
      <c r="G111">
        <f>Table791358[[#This Row],[Purchase Price]]-Table791358[[#This Row],[Sale Price]]</f>
        <v>0</v>
      </c>
    </row>
    <row r="112" spans="2:7" hidden="1" outlineLevel="1">
      <c r="G112">
        <f>Table791358[[#This Row],[Purchase Price]]-Table791358[[#This Row],[Sale Price]]</f>
        <v>0</v>
      </c>
    </row>
    <row r="113" spans="7:7" hidden="1" outlineLevel="1">
      <c r="G113">
        <f>Table791358[[#This Row],[Purchase Price]]-Table791358[[#This Row],[Sale Price]]</f>
        <v>0</v>
      </c>
    </row>
    <row r="114" spans="7:7" hidden="1" outlineLevel="1">
      <c r="G114">
        <f>Table791358[[#This Row],[Purchase Price]]-Table791358[[#This Row],[Sale Price]]</f>
        <v>0</v>
      </c>
    </row>
    <row r="115" spans="7:7" hidden="1" outlineLevel="1">
      <c r="G115">
        <f>Table791358[[#This Row],[Purchase Price]]-Table791358[[#This Row],[Sale Price]]</f>
        <v>0</v>
      </c>
    </row>
    <row r="116" spans="7:7" hidden="1" outlineLevel="1">
      <c r="G116">
        <f>Table791358[[#This Row],[Purchase Price]]-Table791358[[#This Row],[Sale Price]]</f>
        <v>0</v>
      </c>
    </row>
    <row r="117" spans="7:7" hidden="1" outlineLevel="1">
      <c r="G117">
        <f>Table791358[[#This Row],[Purchase Price]]-Table791358[[#This Row],[Sale Price]]</f>
        <v>0</v>
      </c>
    </row>
    <row r="118" spans="7:7" hidden="1" outlineLevel="1">
      <c r="G118">
        <f>Table791358[[#This Row],[Purchase Price]]-Table791358[[#This Row],[Sale Price]]</f>
        <v>0</v>
      </c>
    </row>
    <row r="119" spans="7:7" hidden="1" outlineLevel="1">
      <c r="G119">
        <f>Table791358[[#This Row],[Purchase Price]]-Table791358[[#This Row],[Sale Price]]</f>
        <v>0</v>
      </c>
    </row>
    <row r="120" spans="7:7" hidden="1" outlineLevel="1">
      <c r="G120">
        <f>Table791358[[#This Row],[Purchase Price]]-Table791358[[#This Row],[Sale Price]]</f>
        <v>0</v>
      </c>
    </row>
    <row r="121" spans="7:7" collapsed="1"/>
  </sheetData>
  <mergeCells count="3">
    <mergeCell ref="B3:H3"/>
    <mergeCell ref="C6:D6"/>
    <mergeCell ref="C15:D15"/>
  </mergeCells>
  <hyperlinks>
    <hyperlink ref="B1" location="'All Companies'!A1" display="All Companies" xr:uid="{AC34AA25-7DD1-4687-9249-4E33CB953035}"/>
    <hyperlink ref="C24" r:id="rId1" xr:uid="{64B0EEFD-8675-48CF-8C9F-95549D3075CA}"/>
    <hyperlink ref="G32" r:id="rId2" xr:uid="{41EFAC83-2F95-FD4B-BAB5-64CAEEBB1486}"/>
  </hyperlinks>
  <pageMargins left="0.7" right="0.7" top="0.75" bottom="0.75" header="0.3" footer="0.3"/>
  <tableParts count="4">
    <tablePart r:id="rId3"/>
    <tablePart r:id="rId4"/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FCE62D4-DCF0-4639-830C-9B7592586FA0}">
          <x14:formula1>
            <xm:f>'Document Type'!$B$49:$B$51</xm:f>
          </x14:formula1>
          <xm:sqref>C10:C11</xm:sqref>
        </x14:dataValidation>
        <x14:dataValidation type="list" allowBlank="1" showInputMessage="1" showErrorMessage="1" xr:uid="{D02395A7-BDE1-4309-94C1-4DA33340C532}">
          <x14:formula1>
            <xm:f>'Document Type'!$B$45:$B$47</xm:f>
          </x14:formula1>
          <xm:sqref>C8 G8</xm:sqref>
        </x14:dataValidation>
        <x14:dataValidation type="list" allowBlank="1" showInputMessage="1" showErrorMessage="1" xr:uid="{DB1331EF-6773-47C1-997C-949C480223CD}">
          <x14:formula1>
            <xm:f>'Document Type'!$B$38:$B$39</xm:f>
          </x14:formula1>
          <xm:sqref>F15 G13 C13 G6</xm:sqref>
        </x14:dataValidation>
        <x14:dataValidation type="list" allowBlank="1" showInputMessage="1" showErrorMessage="1" xr:uid="{F5D2B638-777A-45E4-8E79-BF6EB2038B41}">
          <x14:formula1>
            <xm:f>'Document Type'!$B$6:$B$34</xm:f>
          </x14:formula1>
          <xm:sqref>C27:C61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8B2B9-FD87-4A94-9AEB-E9283CB14C93}">
  <dimension ref="B1:R125"/>
  <sheetViews>
    <sheetView topLeftCell="C1" workbookViewId="0">
      <selection activeCell="H42" sqref="H42"/>
    </sheetView>
  </sheetViews>
  <sheetFormatPr defaultColWidth="8.69140625" defaultRowHeight="14.6" outlineLevelRow="1"/>
  <cols>
    <col min="2" max="2" width="38.3046875" bestFit="1" customWidth="1"/>
    <col min="3" max="3" width="42.69140625" bestFit="1" customWidth="1"/>
    <col min="4" max="4" width="29.15234375" customWidth="1"/>
    <col min="5" max="5" width="18.3046875" bestFit="1" customWidth="1"/>
    <col min="6" max="6" width="28.15234375" bestFit="1" customWidth="1"/>
    <col min="7" max="7" width="46.69140625" bestFit="1" customWidth="1"/>
    <col min="8" max="8" width="36.4609375" bestFit="1" customWidth="1"/>
    <col min="9" max="9" width="17.3046875" bestFit="1" customWidth="1"/>
    <col min="10" max="10" width="20.4609375" customWidth="1"/>
    <col min="11" max="11" width="76.3046875" bestFit="1" customWidth="1"/>
    <col min="12" max="12" width="25.3046875" bestFit="1" customWidth="1"/>
  </cols>
  <sheetData>
    <row r="1" spans="2:12">
      <c r="B1" s="69" t="s">
        <v>195</v>
      </c>
    </row>
    <row r="2" spans="2:12" ht="15" thickBot="1">
      <c r="J2" t="s">
        <v>196</v>
      </c>
      <c r="K2" t="s">
        <v>197</v>
      </c>
      <c r="L2">
        <v>2024</v>
      </c>
    </row>
    <row r="3" spans="2:12" ht="26.8" customHeight="1" thickBot="1">
      <c r="B3" s="373" t="s">
        <v>161</v>
      </c>
      <c r="C3" s="374"/>
      <c r="D3" s="374"/>
      <c r="E3" s="374"/>
      <c r="F3" s="374"/>
      <c r="G3" s="374"/>
      <c r="H3" s="375"/>
      <c r="J3" t="s">
        <v>199</v>
      </c>
      <c r="K3" t="s">
        <v>200</v>
      </c>
    </row>
    <row r="4" spans="2:12" ht="17.8" customHeight="1">
      <c r="B4" s="245" t="s">
        <v>201</v>
      </c>
      <c r="C4" s="287" t="s">
        <v>162</v>
      </c>
      <c r="D4" s="273" t="s">
        <v>202</v>
      </c>
      <c r="E4" s="287" t="s">
        <v>163</v>
      </c>
      <c r="F4" s="93"/>
      <c r="G4" s="273" t="s">
        <v>203</v>
      </c>
      <c r="H4" s="93" t="s">
        <v>164</v>
      </c>
      <c r="J4" t="s">
        <v>204</v>
      </c>
      <c r="K4" t="s">
        <v>205</v>
      </c>
    </row>
    <row r="5" spans="2:12">
      <c r="B5" s="250" t="s">
        <v>206</v>
      </c>
      <c r="C5" s="254">
        <v>44662</v>
      </c>
      <c r="D5" s="254"/>
      <c r="E5" s="256"/>
      <c r="F5" s="274" t="s">
        <v>207</v>
      </c>
      <c r="G5" s="255">
        <v>100</v>
      </c>
      <c r="H5" s="258"/>
      <c r="J5" t="s">
        <v>208</v>
      </c>
      <c r="K5" t="s">
        <v>209</v>
      </c>
    </row>
    <row r="6" spans="2:12">
      <c r="B6" s="251" t="s">
        <v>210</v>
      </c>
      <c r="C6" s="376"/>
      <c r="D6" s="376"/>
      <c r="E6" s="232"/>
      <c r="F6" s="275" t="s">
        <v>211</v>
      </c>
      <c r="G6" s="232" t="s">
        <v>212</v>
      </c>
      <c r="H6" s="276"/>
      <c r="J6" t="s">
        <v>213</v>
      </c>
      <c r="K6" t="s">
        <v>214</v>
      </c>
    </row>
    <row r="7" spans="2:12">
      <c r="B7" s="250" t="s">
        <v>215</v>
      </c>
      <c r="C7" s="256"/>
      <c r="D7" s="256"/>
      <c r="E7" s="254"/>
      <c r="F7" s="256"/>
      <c r="G7" s="256"/>
      <c r="H7" s="257"/>
      <c r="J7" t="s">
        <v>216</v>
      </c>
      <c r="K7" t="s">
        <v>217</v>
      </c>
    </row>
    <row r="8" spans="2:12">
      <c r="B8" s="249" t="s">
        <v>218</v>
      </c>
      <c r="C8" s="232" t="s">
        <v>219</v>
      </c>
      <c r="D8" s="232"/>
      <c r="E8" s="252"/>
      <c r="F8" s="275" t="s">
        <v>220</v>
      </c>
      <c r="G8" s="232" t="s">
        <v>221</v>
      </c>
      <c r="H8" s="276"/>
      <c r="J8" t="s">
        <v>222</v>
      </c>
      <c r="K8" t="s">
        <v>223</v>
      </c>
    </row>
    <row r="9" spans="2:12">
      <c r="B9" s="259"/>
      <c r="C9" s="256"/>
      <c r="D9" s="256" t="s">
        <v>224</v>
      </c>
      <c r="E9" s="254"/>
      <c r="F9" s="256"/>
      <c r="G9" s="256"/>
      <c r="H9" s="257"/>
      <c r="J9" t="s">
        <v>225</v>
      </c>
      <c r="K9" t="s">
        <v>226</v>
      </c>
    </row>
    <row r="10" spans="2:12">
      <c r="B10" s="249" t="s">
        <v>227</v>
      </c>
      <c r="C10" s="277" t="s">
        <v>228</v>
      </c>
      <c r="D10" s="252">
        <v>44662</v>
      </c>
      <c r="E10" s="232"/>
      <c r="F10" s="232"/>
      <c r="G10" s="232"/>
      <c r="H10" s="276"/>
      <c r="J10" t="s">
        <v>229</v>
      </c>
      <c r="K10" t="s">
        <v>230</v>
      </c>
    </row>
    <row r="11" spans="2:12">
      <c r="B11" s="250" t="s">
        <v>231</v>
      </c>
      <c r="C11" s="290" t="s">
        <v>228</v>
      </c>
      <c r="D11" s="254">
        <v>44662</v>
      </c>
      <c r="E11" s="256"/>
      <c r="F11" s="256"/>
      <c r="G11" s="255"/>
      <c r="H11" s="258"/>
      <c r="J11" t="s">
        <v>232</v>
      </c>
      <c r="K11" t="s">
        <v>233</v>
      </c>
    </row>
    <row r="12" spans="2:12">
      <c r="B12" s="240"/>
      <c r="C12" s="232"/>
      <c r="D12" s="232"/>
      <c r="E12" s="252"/>
      <c r="F12" s="232"/>
      <c r="G12" s="232"/>
      <c r="H12" s="276"/>
      <c r="J12" t="s">
        <v>234</v>
      </c>
      <c r="K12" t="s">
        <v>235</v>
      </c>
    </row>
    <row r="13" spans="2:12">
      <c r="B13" s="250" t="s">
        <v>236</v>
      </c>
      <c r="C13" s="256" t="s">
        <v>212</v>
      </c>
      <c r="D13" s="256"/>
      <c r="E13" s="256"/>
      <c r="F13" s="274" t="s">
        <v>238</v>
      </c>
      <c r="G13" s="256" t="s">
        <v>212</v>
      </c>
      <c r="H13" s="256"/>
      <c r="J13" t="s">
        <v>239</v>
      </c>
    </row>
    <row r="14" spans="2:12">
      <c r="B14" s="242"/>
      <c r="C14" s="233"/>
      <c r="D14" s="233"/>
      <c r="E14" s="275" t="s">
        <v>240</v>
      </c>
      <c r="F14" s="275" t="s">
        <v>241</v>
      </c>
      <c r="G14" s="232"/>
      <c r="H14" s="232"/>
      <c r="J14" t="s">
        <v>242</v>
      </c>
    </row>
    <row r="15" spans="2:12">
      <c r="B15" s="250" t="s">
        <v>243</v>
      </c>
      <c r="C15" s="378" t="s">
        <v>316</v>
      </c>
      <c r="D15" s="378"/>
      <c r="E15" s="256">
        <v>100</v>
      </c>
      <c r="F15" s="256" t="s">
        <v>212</v>
      </c>
      <c r="G15" s="256"/>
      <c r="H15" s="256"/>
      <c r="J15" t="s">
        <v>245</v>
      </c>
    </row>
    <row r="16" spans="2:12">
      <c r="B16" s="242"/>
      <c r="C16" s="233"/>
      <c r="D16" s="233"/>
      <c r="E16" s="232"/>
      <c r="F16" s="232"/>
      <c r="G16" s="232"/>
      <c r="H16" s="232"/>
      <c r="J16" t="s">
        <v>246</v>
      </c>
    </row>
    <row r="17" spans="2:10">
      <c r="B17" s="250" t="s">
        <v>247</v>
      </c>
      <c r="C17" s="274" t="s">
        <v>248</v>
      </c>
      <c r="D17" s="274" t="s">
        <v>82</v>
      </c>
      <c r="E17" s="300" t="s">
        <v>83</v>
      </c>
      <c r="F17" s="274" t="s">
        <v>249</v>
      </c>
      <c r="G17" s="255"/>
      <c r="H17" s="255"/>
      <c r="J17" t="s">
        <v>250</v>
      </c>
    </row>
    <row r="18" spans="2:10">
      <c r="B18" s="240"/>
      <c r="C18" s="303" t="s">
        <v>251</v>
      </c>
      <c r="D18" s="297" t="s">
        <v>252</v>
      </c>
      <c r="E18" s="297">
        <v>259449309</v>
      </c>
      <c r="F18" s="305">
        <v>44671</v>
      </c>
      <c r="G18" s="232"/>
      <c r="H18" s="232"/>
      <c r="J18" t="s">
        <v>253</v>
      </c>
    </row>
    <row r="19" spans="2:10">
      <c r="B19" s="259"/>
      <c r="C19" s="304" t="s">
        <v>254</v>
      </c>
      <c r="D19" s="304" t="s">
        <v>255</v>
      </c>
      <c r="E19" s="304">
        <v>305422840</v>
      </c>
      <c r="F19" s="304"/>
      <c r="G19" s="256"/>
      <c r="H19" s="256"/>
      <c r="J19" t="s">
        <v>256</v>
      </c>
    </row>
    <row r="20" spans="2:10">
      <c r="B20" s="240"/>
      <c r="C20" s="232" t="s">
        <v>317</v>
      </c>
      <c r="D20" s="232"/>
      <c r="E20" s="252"/>
      <c r="F20" s="232"/>
      <c r="G20" s="232"/>
      <c r="H20" s="232"/>
      <c r="J20" t="s">
        <v>257</v>
      </c>
    </row>
    <row r="21" spans="2:10">
      <c r="B21" s="259"/>
      <c r="C21" s="256"/>
      <c r="D21" s="256"/>
      <c r="E21" s="254"/>
      <c r="F21" s="256"/>
      <c r="G21" s="256"/>
      <c r="H21" s="256"/>
      <c r="J21" t="s">
        <v>258</v>
      </c>
    </row>
    <row r="22" spans="2:10">
      <c r="B22" s="240"/>
      <c r="C22" s="232"/>
      <c r="D22" s="232"/>
      <c r="E22" s="252"/>
      <c r="F22" s="232"/>
      <c r="G22" s="232"/>
      <c r="H22" s="232"/>
    </row>
    <row r="24" spans="2:10">
      <c r="B24" t="s">
        <v>259</v>
      </c>
      <c r="C24" s="69" t="s">
        <v>161</v>
      </c>
      <c r="D24" t="s">
        <v>260</v>
      </c>
      <c r="E24" t="s">
        <v>318</v>
      </c>
    </row>
    <row r="26" spans="2:10" ht="15.9">
      <c r="B26" s="170" t="s">
        <v>262</v>
      </c>
      <c r="C26" s="170" t="s">
        <v>263</v>
      </c>
      <c r="D26" s="170" t="s">
        <v>264</v>
      </c>
      <c r="E26" s="170" t="s">
        <v>265</v>
      </c>
      <c r="F26" s="170" t="s">
        <v>266</v>
      </c>
      <c r="G26" s="170" t="s">
        <v>267</v>
      </c>
      <c r="H26" s="170" t="s">
        <v>268</v>
      </c>
      <c r="J26" s="170" t="s">
        <v>269</v>
      </c>
    </row>
    <row r="27" spans="2:10" outlineLevel="1">
      <c r="B27" s="14" t="s">
        <v>270</v>
      </c>
      <c r="C27" t="s">
        <v>253</v>
      </c>
      <c r="D27" t="str">
        <f>VLOOKUP(C27,'Document Type'!$B$6:$C$34,2,FALSE)</f>
        <v>General</v>
      </c>
      <c r="E27" s="218">
        <v>45471</v>
      </c>
      <c r="G27" t="s">
        <v>319</v>
      </c>
    </row>
    <row r="28" spans="2:10" outlineLevel="1">
      <c r="B28" s="14" t="s">
        <v>272</v>
      </c>
      <c r="C28" t="s">
        <v>234</v>
      </c>
      <c r="D28" t="str">
        <f>VLOOKUP(C28,'Document Type'!$B$6:$C$34,2,FALSE)</f>
        <v>General</v>
      </c>
      <c r="E28" s="218">
        <v>45471</v>
      </c>
      <c r="G28" t="s">
        <v>320</v>
      </c>
    </row>
    <row r="29" spans="2:10" outlineLevel="1">
      <c r="B29" t="s">
        <v>2</v>
      </c>
      <c r="C29" t="s">
        <v>2</v>
      </c>
      <c r="D29" t="s">
        <v>321</v>
      </c>
      <c r="E29" s="218">
        <v>45100</v>
      </c>
      <c r="G29" t="s">
        <v>322</v>
      </c>
    </row>
    <row r="30" spans="2:10" outlineLevel="1">
      <c r="B30" t="s">
        <v>323</v>
      </c>
      <c r="C30" t="s">
        <v>253</v>
      </c>
      <c r="D30" t="str">
        <f>VLOOKUP(C30,'Document Type'!$B$6:$C$34,2,FALSE)</f>
        <v>General</v>
      </c>
      <c r="E30" s="218">
        <v>45107</v>
      </c>
      <c r="G30" t="s">
        <v>324</v>
      </c>
    </row>
    <row r="31" spans="2:10" outlineLevel="1">
      <c r="B31" t="s">
        <v>325</v>
      </c>
      <c r="C31" t="s">
        <v>234</v>
      </c>
      <c r="D31" t="str">
        <f>VLOOKUP(C31,'Document Type'!$B$6:$C$34,2,FALSE)</f>
        <v>General</v>
      </c>
      <c r="E31" s="218">
        <v>45107</v>
      </c>
      <c r="G31" t="s">
        <v>326</v>
      </c>
    </row>
    <row r="32" spans="2:10" outlineLevel="1">
      <c r="B32" t="s">
        <v>327</v>
      </c>
      <c r="C32" t="s">
        <v>216</v>
      </c>
      <c r="D32" t="str">
        <f>VLOOKUP(C32,'Document Type'!$B$6:$C$34,2,FALSE)</f>
        <v>Register of Members</v>
      </c>
      <c r="E32" s="218">
        <v>44698</v>
      </c>
      <c r="G32" t="s">
        <v>328</v>
      </c>
    </row>
    <row r="33" spans="2:8" outlineLevel="1">
      <c r="B33" t="s">
        <v>329</v>
      </c>
      <c r="C33" t="s">
        <v>287</v>
      </c>
      <c r="D33" t="str">
        <f>VLOOKUP(C33,'Document Type'!$B$6:$C$34,2,FALSE)</f>
        <v>General</v>
      </c>
      <c r="E33" s="218">
        <v>44698</v>
      </c>
      <c r="G33" t="s">
        <v>330</v>
      </c>
    </row>
    <row r="34" spans="2:8" outlineLevel="1">
      <c r="B34" t="s">
        <v>331</v>
      </c>
      <c r="C34" t="s">
        <v>246</v>
      </c>
      <c r="D34" t="str">
        <f>VLOOKUP(C34,'Document Type'!$B$6:$C$34,2,FALSE)</f>
        <v>Minutes</v>
      </c>
      <c r="E34" s="218">
        <v>45283</v>
      </c>
      <c r="G34" t="s">
        <v>332</v>
      </c>
    </row>
    <row r="35" spans="2:8" outlineLevel="1">
      <c r="B35" t="s">
        <v>1365</v>
      </c>
      <c r="D35" t="s">
        <v>321</v>
      </c>
      <c r="E35" s="218">
        <v>45842</v>
      </c>
      <c r="G35" t="s">
        <v>1361</v>
      </c>
      <c r="H35" t="s">
        <v>439</v>
      </c>
    </row>
    <row r="36" spans="2:8" outlineLevel="1">
      <c r="B36" t="s">
        <v>1363</v>
      </c>
      <c r="D36" t="s">
        <v>321</v>
      </c>
      <c r="E36" s="218">
        <v>45842</v>
      </c>
      <c r="G36" t="s">
        <v>1362</v>
      </c>
      <c r="H36" t="s">
        <v>1367</v>
      </c>
    </row>
    <row r="37" spans="2:8" outlineLevel="1">
      <c r="B37" t="s">
        <v>1364</v>
      </c>
      <c r="D37" t="s">
        <v>321</v>
      </c>
      <c r="E37" s="218">
        <v>45842</v>
      </c>
      <c r="G37" t="s">
        <v>1366</v>
      </c>
      <c r="H37" t="s">
        <v>439</v>
      </c>
    </row>
    <row r="38" spans="2:8" outlineLevel="1">
      <c r="B38" t="s">
        <v>1351</v>
      </c>
      <c r="D38" t="s">
        <v>321</v>
      </c>
      <c r="E38" s="218">
        <v>45813</v>
      </c>
    </row>
    <row r="39" spans="2:8" outlineLevel="1">
      <c r="B39" t="s">
        <v>1368</v>
      </c>
      <c r="D39" t="s">
        <v>321</v>
      </c>
      <c r="E39" s="218">
        <v>45862</v>
      </c>
      <c r="G39" t="s">
        <v>1369</v>
      </c>
      <c r="H39" t="s">
        <v>439</v>
      </c>
    </row>
    <row r="40" spans="2:8" outlineLevel="1">
      <c r="D40" t="e">
        <f>VLOOKUP(C40,'Document Type'!$B$6:$C$34,2,FALSE)</f>
        <v>#N/A</v>
      </c>
    </row>
    <row r="41" spans="2:8" outlineLevel="1">
      <c r="D41" t="e">
        <f>VLOOKUP(C41,'Document Type'!$B$6:$C$34,2,FALSE)</f>
        <v>#N/A</v>
      </c>
    </row>
    <row r="42" spans="2:8" outlineLevel="1">
      <c r="D42" t="e">
        <f>VLOOKUP(C42,'Document Type'!$B$6:$C$34,2,FALSE)</f>
        <v>#N/A</v>
      </c>
    </row>
    <row r="43" spans="2:8" outlineLevel="1">
      <c r="D43" t="e">
        <f>VLOOKUP(C43,'Document Type'!$B$6:$C$34,2,FALSE)</f>
        <v>#N/A</v>
      </c>
    </row>
    <row r="44" spans="2:8" outlineLevel="1">
      <c r="D44" t="e">
        <f>VLOOKUP(C44,'Document Type'!$B$6:$C$34,2,FALSE)</f>
        <v>#N/A</v>
      </c>
    </row>
    <row r="45" spans="2:8" outlineLevel="1">
      <c r="D45" t="e">
        <f>VLOOKUP(C45,'Document Type'!$B$6:$C$34,2,FALSE)</f>
        <v>#N/A</v>
      </c>
    </row>
    <row r="46" spans="2:8" outlineLevel="1">
      <c r="D46" t="e">
        <f>VLOOKUP(C46,'Document Type'!$B$6:$C$34,2,FALSE)</f>
        <v>#N/A</v>
      </c>
    </row>
    <row r="47" spans="2:8" outlineLevel="1">
      <c r="D47" t="e">
        <f>VLOOKUP(C47,'Document Type'!$B$6:$C$34,2,FALSE)</f>
        <v>#N/A</v>
      </c>
    </row>
    <row r="48" spans="2:8" outlineLevel="1">
      <c r="D48" t="e">
        <f>VLOOKUP(C48,'Document Type'!$B$6:$C$34,2,FALSE)</f>
        <v>#N/A</v>
      </c>
    </row>
    <row r="49" spans="4:4" outlineLevel="1">
      <c r="D49" t="e">
        <f>VLOOKUP(C49,'Document Type'!$B$6:$C$34,2,FALSE)</f>
        <v>#N/A</v>
      </c>
    </row>
    <row r="50" spans="4:4" outlineLevel="1">
      <c r="D50" t="e">
        <f>VLOOKUP(C50,'Document Type'!$B$6:$C$34,2,FALSE)</f>
        <v>#N/A</v>
      </c>
    </row>
    <row r="51" spans="4:4" outlineLevel="1">
      <c r="D51" t="e">
        <f>VLOOKUP(C51,'Document Type'!$B$6:$C$34,2,FALSE)</f>
        <v>#N/A</v>
      </c>
    </row>
    <row r="52" spans="4:4" outlineLevel="1">
      <c r="D52" t="e">
        <f>VLOOKUP(C52,'Document Type'!$B$6:$C$34,2,FALSE)</f>
        <v>#N/A</v>
      </c>
    </row>
    <row r="53" spans="4:4" outlineLevel="1">
      <c r="D53" t="e">
        <f>VLOOKUP(C53,'Document Type'!$B$6:$C$34,2,FALSE)</f>
        <v>#N/A</v>
      </c>
    </row>
    <row r="54" spans="4:4" outlineLevel="1">
      <c r="D54" t="e">
        <f>VLOOKUP(C54,'Document Type'!$B$6:$C$34,2,FALSE)</f>
        <v>#N/A</v>
      </c>
    </row>
    <row r="55" spans="4:4" outlineLevel="1">
      <c r="D55" t="e">
        <f>VLOOKUP(C55,'Document Type'!$B$6:$C$34,2,FALSE)</f>
        <v>#N/A</v>
      </c>
    </row>
    <row r="56" spans="4:4" outlineLevel="1">
      <c r="D56" t="e">
        <f>VLOOKUP(C56,'Document Type'!$B$6:$C$34,2,FALSE)</f>
        <v>#N/A</v>
      </c>
    </row>
    <row r="57" spans="4:4" outlineLevel="1">
      <c r="D57" t="e">
        <f>VLOOKUP(C57,'Document Type'!$B$6:$C$34,2,FALSE)</f>
        <v>#N/A</v>
      </c>
    </row>
    <row r="58" spans="4:4" outlineLevel="1">
      <c r="D58" t="e">
        <f>VLOOKUP(C58,'Document Type'!$B$6:$C$34,2,FALSE)</f>
        <v>#N/A</v>
      </c>
    </row>
    <row r="59" spans="4:4" outlineLevel="1">
      <c r="D59" t="e">
        <f>VLOOKUP(C59,'Document Type'!$B$6:$C$34,2,FALSE)</f>
        <v>#N/A</v>
      </c>
    </row>
    <row r="60" spans="4:4" outlineLevel="1">
      <c r="D60" t="e">
        <f>VLOOKUP(C60,'Document Type'!$B$6:$C$34,2,FALSE)</f>
        <v>#N/A</v>
      </c>
    </row>
    <row r="61" spans="4:4" outlineLevel="1">
      <c r="D61" t="e">
        <f>VLOOKUP(C61,'Document Type'!$B$6:$C$34,2,FALSE)</f>
        <v>#N/A</v>
      </c>
    </row>
    <row r="62" spans="4:4" outlineLevel="1">
      <c r="D62" t="e">
        <f>VLOOKUP(C62,'Document Type'!$B$6:$C$34,2,FALSE)</f>
        <v>#N/A</v>
      </c>
    </row>
    <row r="63" spans="4:4" outlineLevel="1">
      <c r="D63" t="e">
        <f>VLOOKUP(C63,'Document Type'!$B$6:$C$34,2,FALSE)</f>
        <v>#N/A</v>
      </c>
    </row>
    <row r="64" spans="4:4" outlineLevel="1"/>
    <row r="67" spans="2:18" ht="15.9">
      <c r="B67" s="170" t="s">
        <v>289</v>
      </c>
    </row>
    <row r="68" spans="2:18">
      <c r="B68" s="350" t="s">
        <v>265</v>
      </c>
      <c r="C68" s="350" t="s">
        <v>290</v>
      </c>
      <c r="D68" s="350" t="s">
        <v>291</v>
      </c>
      <c r="E68" s="351" t="s">
        <v>292</v>
      </c>
      <c r="F68" s="350" t="s">
        <v>293</v>
      </c>
      <c r="G68" s="350" t="s">
        <v>294</v>
      </c>
      <c r="H68" s="352" t="s">
        <v>295</v>
      </c>
      <c r="I68" s="353" t="s">
        <v>296</v>
      </c>
      <c r="J68" s="354" t="s">
        <v>297</v>
      </c>
      <c r="K68" s="199" t="s">
        <v>298</v>
      </c>
      <c r="L68" s="199" t="s">
        <v>299</v>
      </c>
      <c r="M68" s="199" t="s">
        <v>300</v>
      </c>
      <c r="N68" s="354" t="s">
        <v>301</v>
      </c>
      <c r="O68" s="199" t="s">
        <v>302</v>
      </c>
      <c r="P68" s="199" t="s">
        <v>303</v>
      </c>
      <c r="Q68" s="199" t="s">
        <v>304</v>
      </c>
      <c r="R68" s="199"/>
    </row>
    <row r="69" spans="2:18" outlineLevel="1">
      <c r="B69" s="140"/>
      <c r="C69" s="93"/>
      <c r="D69" s="93"/>
      <c r="E69" s="93"/>
      <c r="F69" s="93"/>
      <c r="G69" s="93"/>
      <c r="H69" s="93"/>
      <c r="I69" s="93"/>
      <c r="J69" s="209"/>
      <c r="K69" s="93"/>
      <c r="L69" s="93"/>
      <c r="M69" s="93"/>
      <c r="N69" s="209"/>
      <c r="O69" s="93"/>
      <c r="P69" s="93"/>
      <c r="Q69" s="93"/>
    </row>
    <row r="70" spans="2:18" outlineLevel="1">
      <c r="B70" s="140"/>
      <c r="C70" s="93"/>
      <c r="D70" s="93"/>
      <c r="E70" s="93"/>
      <c r="F70" s="93"/>
      <c r="G70" s="93"/>
      <c r="H70" s="93"/>
      <c r="I70" s="93"/>
      <c r="J70" s="209"/>
      <c r="K70" s="93"/>
      <c r="L70" s="93"/>
      <c r="M70" s="93"/>
      <c r="N70" s="209"/>
      <c r="O70" s="93"/>
      <c r="P70" s="93"/>
      <c r="Q70" s="93"/>
    </row>
    <row r="71" spans="2:18" outlineLevel="1">
      <c r="B71" s="140"/>
      <c r="C71" s="93"/>
      <c r="D71" s="93"/>
      <c r="E71" s="93"/>
      <c r="F71" s="93"/>
      <c r="G71" s="93"/>
      <c r="H71" s="93"/>
      <c r="I71" s="93"/>
      <c r="J71" s="209"/>
      <c r="K71" s="93"/>
      <c r="L71" s="93"/>
      <c r="M71" s="93"/>
      <c r="N71" s="209"/>
      <c r="O71" s="93"/>
      <c r="P71" s="93"/>
      <c r="Q71" s="93"/>
    </row>
    <row r="72" spans="2:18" outlineLevel="1">
      <c r="B72" s="140"/>
      <c r="C72" s="93"/>
      <c r="D72" s="93"/>
      <c r="E72" s="93"/>
      <c r="F72" s="93"/>
      <c r="G72" s="93"/>
      <c r="H72" s="93"/>
      <c r="I72" s="93"/>
      <c r="J72" s="209"/>
      <c r="K72" s="93"/>
      <c r="L72" s="93"/>
      <c r="M72" s="93"/>
      <c r="N72" s="209"/>
      <c r="O72" s="93"/>
      <c r="P72" s="93"/>
      <c r="Q72" s="93"/>
    </row>
    <row r="73" spans="2:18" outlineLevel="1">
      <c r="B73" s="140"/>
      <c r="C73" s="93"/>
      <c r="D73" s="93"/>
      <c r="E73" s="93"/>
      <c r="F73" s="93"/>
      <c r="G73" s="93"/>
      <c r="H73" s="93"/>
      <c r="I73" s="93"/>
      <c r="J73" s="209"/>
      <c r="K73" s="93"/>
      <c r="L73" s="93"/>
      <c r="M73" s="93"/>
      <c r="N73" s="209"/>
      <c r="O73" s="93"/>
      <c r="P73" s="93"/>
      <c r="Q73" s="93"/>
    </row>
    <row r="74" spans="2:18" outlineLevel="1">
      <c r="B74" s="140"/>
      <c r="C74" s="93"/>
      <c r="D74" s="93"/>
      <c r="E74" s="93"/>
      <c r="F74" s="93"/>
      <c r="G74" s="93"/>
      <c r="H74" s="93"/>
      <c r="I74" s="93"/>
      <c r="J74" s="209"/>
      <c r="K74" s="93"/>
      <c r="L74" s="93"/>
      <c r="M74" s="93"/>
      <c r="N74" s="209"/>
      <c r="O74" s="93"/>
      <c r="P74" s="93"/>
      <c r="Q74" s="93"/>
    </row>
    <row r="75" spans="2:18" outlineLevel="1">
      <c r="B75" s="140"/>
      <c r="C75" s="93"/>
      <c r="D75" s="93"/>
      <c r="E75" s="93"/>
      <c r="F75" s="93"/>
      <c r="G75" s="93"/>
      <c r="H75" s="93"/>
      <c r="I75" s="93"/>
      <c r="J75" s="209"/>
      <c r="K75" s="93"/>
      <c r="L75" s="93"/>
      <c r="M75" s="93"/>
      <c r="N75" s="209"/>
      <c r="O75" s="93"/>
      <c r="P75" s="93"/>
      <c r="Q75" s="93"/>
    </row>
    <row r="76" spans="2:18" outlineLevel="1">
      <c r="B76" s="140"/>
      <c r="C76" s="93"/>
      <c r="D76" s="93"/>
      <c r="E76" s="93"/>
      <c r="F76" s="93"/>
      <c r="G76" s="93"/>
      <c r="H76" s="93"/>
      <c r="I76" s="93"/>
      <c r="J76" s="209"/>
      <c r="K76" s="93"/>
      <c r="L76" s="93"/>
      <c r="M76" s="93"/>
      <c r="N76" s="209"/>
      <c r="O76" s="93"/>
      <c r="P76" s="93"/>
      <c r="Q76" s="93"/>
    </row>
    <row r="77" spans="2:18" outlineLevel="1">
      <c r="B77" s="140"/>
      <c r="C77" s="93"/>
      <c r="D77" s="93"/>
      <c r="E77" s="93"/>
      <c r="F77" s="93"/>
      <c r="G77" s="93"/>
      <c r="H77" s="93"/>
      <c r="I77" s="93"/>
      <c r="J77" s="209"/>
      <c r="K77" s="93"/>
      <c r="L77" s="93"/>
      <c r="M77" s="93"/>
      <c r="N77" s="209"/>
      <c r="O77" s="93"/>
      <c r="P77" s="93"/>
      <c r="Q77" s="93"/>
    </row>
    <row r="78" spans="2:18" outlineLevel="1">
      <c r="B78" s="140"/>
      <c r="C78" s="93"/>
      <c r="D78" s="93"/>
      <c r="E78" s="93"/>
      <c r="F78" s="93"/>
      <c r="G78" s="93"/>
      <c r="H78" s="93"/>
      <c r="I78" s="93"/>
      <c r="J78" s="209"/>
      <c r="K78" s="93"/>
      <c r="L78" s="93"/>
      <c r="M78" s="93"/>
      <c r="N78" s="209"/>
      <c r="O78" s="93"/>
      <c r="P78" s="93"/>
      <c r="Q78" s="93"/>
    </row>
    <row r="79" spans="2:18" outlineLevel="1">
      <c r="B79" s="140"/>
      <c r="C79" s="93"/>
      <c r="D79" s="93"/>
      <c r="E79" s="93"/>
      <c r="F79" s="93"/>
      <c r="G79" s="93"/>
      <c r="H79" s="93"/>
      <c r="I79" s="93"/>
      <c r="J79" s="209"/>
      <c r="K79" s="93"/>
      <c r="L79" s="93"/>
      <c r="M79" s="93"/>
      <c r="N79" s="209"/>
      <c r="O79" s="93"/>
      <c r="P79" s="93"/>
      <c r="Q79" s="93"/>
    </row>
    <row r="80" spans="2:18" outlineLevel="1">
      <c r="B80" s="140"/>
      <c r="C80" s="93"/>
      <c r="D80" s="93"/>
      <c r="E80" s="93"/>
      <c r="F80" s="93"/>
      <c r="G80" s="93"/>
      <c r="H80" s="93"/>
      <c r="I80" s="93"/>
      <c r="J80" s="209"/>
      <c r="K80" s="93"/>
      <c r="L80" s="93"/>
      <c r="M80" s="93"/>
      <c r="N80" s="209"/>
      <c r="O80" s="93"/>
      <c r="P80" s="93"/>
      <c r="Q80" s="93"/>
    </row>
    <row r="81" spans="2:17" outlineLevel="1">
      <c r="B81" s="140"/>
      <c r="C81" s="93"/>
      <c r="D81" s="93"/>
      <c r="E81" s="93"/>
      <c r="F81" s="93"/>
      <c r="G81" s="93"/>
      <c r="H81" s="93"/>
      <c r="I81" s="93"/>
      <c r="J81" s="209"/>
      <c r="K81" s="93"/>
      <c r="L81" s="93"/>
      <c r="M81" s="93"/>
      <c r="N81" s="209"/>
      <c r="O81" s="93"/>
      <c r="P81" s="93"/>
      <c r="Q81" s="93"/>
    </row>
    <row r="82" spans="2:17" outlineLevel="1">
      <c r="B82" s="140"/>
      <c r="C82" s="93"/>
      <c r="D82" s="93"/>
      <c r="E82" s="93"/>
      <c r="F82" s="93"/>
      <c r="G82" s="93"/>
      <c r="H82" s="93"/>
      <c r="I82" s="93"/>
      <c r="J82" s="209"/>
      <c r="K82" s="93"/>
      <c r="L82" s="93"/>
      <c r="M82" s="93"/>
      <c r="N82" s="209"/>
      <c r="O82" s="93"/>
      <c r="P82" s="93"/>
      <c r="Q82" s="93"/>
    </row>
    <row r="83" spans="2:17" outlineLevel="1">
      <c r="B83" s="140"/>
      <c r="C83" s="93"/>
      <c r="D83" s="93"/>
      <c r="E83" s="93"/>
      <c r="F83" s="93"/>
      <c r="G83" s="93"/>
      <c r="H83" s="93"/>
      <c r="I83" s="93"/>
      <c r="J83" s="209"/>
      <c r="K83" s="93"/>
      <c r="L83" s="93"/>
      <c r="M83" s="93"/>
      <c r="N83" s="209"/>
      <c r="O83" s="93"/>
      <c r="P83" s="93"/>
      <c r="Q83" s="93"/>
    </row>
    <row r="84" spans="2:17" outlineLevel="1">
      <c r="B84" s="140"/>
      <c r="C84" s="93"/>
      <c r="D84" s="93"/>
      <c r="E84" s="93"/>
      <c r="F84" s="93"/>
      <c r="G84" s="93"/>
      <c r="H84" s="93"/>
      <c r="I84" s="93"/>
      <c r="J84" s="209"/>
      <c r="K84" s="93"/>
      <c r="L84" s="93"/>
      <c r="M84" s="93"/>
      <c r="N84" s="209"/>
      <c r="O84" s="93"/>
      <c r="P84" s="93"/>
      <c r="Q84" s="93"/>
    </row>
    <row r="85" spans="2:17" outlineLevel="1">
      <c r="B85" s="140"/>
      <c r="C85" s="93"/>
      <c r="D85" s="93"/>
      <c r="E85" s="93"/>
      <c r="F85" s="93"/>
      <c r="G85" s="93"/>
      <c r="H85" s="93"/>
      <c r="I85" s="93"/>
      <c r="J85" s="209"/>
      <c r="K85" s="93"/>
      <c r="L85" s="93"/>
      <c r="M85" s="93"/>
      <c r="N85" s="209"/>
      <c r="O85" s="93"/>
      <c r="P85" s="93"/>
      <c r="Q85" s="93"/>
    </row>
    <row r="86" spans="2:17" outlineLevel="1">
      <c r="B86" s="140"/>
      <c r="C86" s="93"/>
      <c r="D86" s="93"/>
      <c r="E86" s="93"/>
      <c r="F86" s="93"/>
      <c r="G86" s="93"/>
      <c r="H86" s="93"/>
      <c r="I86" s="93"/>
      <c r="J86" s="209"/>
      <c r="K86" s="93"/>
      <c r="L86" s="93"/>
      <c r="M86" s="93"/>
      <c r="N86" s="209"/>
      <c r="O86" s="93"/>
      <c r="P86" s="93"/>
      <c r="Q86" s="93"/>
    </row>
    <row r="87" spans="2:17" outlineLevel="1">
      <c r="B87" s="93"/>
      <c r="C87" s="93"/>
      <c r="D87" s="93"/>
      <c r="E87" s="93"/>
      <c r="F87" s="93"/>
      <c r="G87" s="93"/>
      <c r="H87" s="93"/>
      <c r="I87" s="93"/>
      <c r="J87" s="209"/>
      <c r="K87" s="93"/>
      <c r="L87" s="93"/>
      <c r="M87" s="93"/>
      <c r="N87" s="209"/>
      <c r="O87" s="93"/>
      <c r="P87" s="93"/>
      <c r="Q87" s="93"/>
    </row>
    <row r="88" spans="2:17" outlineLevel="1">
      <c r="B88" s="93"/>
      <c r="C88" s="93"/>
      <c r="D88" s="93"/>
      <c r="E88" s="93"/>
      <c r="F88" s="93"/>
      <c r="G88" s="93"/>
      <c r="H88" s="93"/>
      <c r="I88" s="93"/>
      <c r="J88" s="209"/>
      <c r="K88" s="93"/>
      <c r="L88" s="93"/>
      <c r="M88" s="93"/>
      <c r="N88" s="209"/>
      <c r="O88" s="93"/>
      <c r="P88" s="93"/>
      <c r="Q88" s="93"/>
    </row>
    <row r="89" spans="2:17" outlineLevel="1">
      <c r="B89" s="93"/>
      <c r="C89" s="93"/>
      <c r="D89" s="93"/>
      <c r="E89" s="93"/>
      <c r="F89" s="93"/>
      <c r="G89" s="93"/>
      <c r="H89" s="93"/>
      <c r="I89" s="93"/>
      <c r="J89" s="209"/>
      <c r="K89" s="93"/>
      <c r="L89" s="93"/>
      <c r="M89" s="93"/>
      <c r="N89" s="209"/>
      <c r="O89" s="93"/>
      <c r="P89" s="93"/>
      <c r="Q89" s="93"/>
    </row>
    <row r="90" spans="2:17" outlineLevel="1">
      <c r="B90" s="93"/>
      <c r="C90" s="93"/>
      <c r="D90" s="93"/>
      <c r="E90" s="93"/>
      <c r="F90" s="93"/>
      <c r="G90" s="93"/>
      <c r="H90" s="93"/>
      <c r="I90" s="93"/>
      <c r="J90" s="209"/>
      <c r="K90" s="93"/>
      <c r="L90" s="93"/>
      <c r="M90" s="93"/>
      <c r="N90" s="209"/>
      <c r="O90" s="93"/>
      <c r="P90" s="93"/>
      <c r="Q90" s="93"/>
    </row>
    <row r="91" spans="2:17" outlineLevel="1">
      <c r="B91" s="93"/>
      <c r="C91" s="93"/>
      <c r="D91" s="93"/>
      <c r="E91" s="93"/>
      <c r="F91" s="93"/>
      <c r="G91" s="93"/>
      <c r="H91" s="93"/>
      <c r="I91" s="93"/>
      <c r="J91" s="209"/>
      <c r="K91" s="93"/>
      <c r="L91" s="93"/>
      <c r="M91" s="93"/>
      <c r="N91" s="209"/>
      <c r="O91" s="93"/>
      <c r="P91" s="93"/>
      <c r="Q91" s="93"/>
    </row>
    <row r="92" spans="2:17" outlineLevel="1">
      <c r="B92" s="93"/>
      <c r="C92" s="93"/>
      <c r="D92" s="93"/>
      <c r="E92" s="93"/>
      <c r="F92" s="93"/>
      <c r="G92" s="93"/>
      <c r="H92" s="93"/>
      <c r="I92" s="93"/>
      <c r="J92" s="209"/>
      <c r="K92" s="93"/>
      <c r="L92" s="93"/>
      <c r="M92" s="93"/>
      <c r="N92" s="209"/>
      <c r="O92" s="93"/>
      <c r="P92" s="93"/>
      <c r="Q92" s="93"/>
    </row>
    <row r="93" spans="2:17" outlineLevel="1">
      <c r="B93" s="93"/>
      <c r="C93" s="93"/>
      <c r="D93" s="93"/>
      <c r="E93" s="93"/>
      <c r="F93" s="93"/>
      <c r="G93" s="93"/>
      <c r="H93" s="93"/>
      <c r="I93" s="93"/>
      <c r="J93" s="209"/>
      <c r="K93" s="93"/>
      <c r="L93" s="93"/>
      <c r="M93" s="93"/>
      <c r="N93" s="209"/>
      <c r="O93" s="93"/>
      <c r="P93" s="93"/>
      <c r="Q93" s="93"/>
    </row>
    <row r="94" spans="2:17" outlineLevel="1">
      <c r="B94" s="93"/>
      <c r="C94" s="93"/>
      <c r="D94" s="93"/>
      <c r="E94" s="93"/>
      <c r="F94" s="93"/>
      <c r="G94" s="93"/>
      <c r="H94" s="93"/>
      <c r="I94" s="93"/>
      <c r="J94" s="209"/>
      <c r="K94" s="93"/>
      <c r="L94" s="93"/>
      <c r="M94" s="93"/>
      <c r="N94" s="209"/>
      <c r="O94" s="93"/>
      <c r="P94" s="93"/>
      <c r="Q94" s="93"/>
    </row>
    <row r="96" spans="2:17" ht="15.9">
      <c r="B96" s="170" t="s">
        <v>305</v>
      </c>
    </row>
    <row r="97" spans="2:7">
      <c r="B97" t="s">
        <v>224</v>
      </c>
      <c r="C97" t="s">
        <v>306</v>
      </c>
      <c r="D97" t="s">
        <v>307</v>
      </c>
      <c r="E97" t="s">
        <v>265</v>
      </c>
      <c r="F97" t="s">
        <v>308</v>
      </c>
      <c r="G97" t="s">
        <v>256</v>
      </c>
    </row>
    <row r="98" spans="2:7" hidden="1" outlineLevel="1">
      <c r="D98" s="112"/>
      <c r="E98" s="218"/>
    </row>
    <row r="99" spans="2:7" hidden="1" outlineLevel="1">
      <c r="D99" s="112"/>
      <c r="E99" s="218"/>
    </row>
    <row r="100" spans="2:7" hidden="1" outlineLevel="1">
      <c r="D100" s="112"/>
      <c r="E100" s="218"/>
    </row>
    <row r="101" spans="2:7" hidden="1" outlineLevel="1">
      <c r="D101" s="112"/>
      <c r="E101" s="218"/>
    </row>
    <row r="102" spans="2:7" hidden="1" outlineLevel="1">
      <c r="D102" s="112"/>
    </row>
    <row r="103" spans="2:7" hidden="1" outlineLevel="1">
      <c r="D103" s="112"/>
    </row>
    <row r="104" spans="2:7" collapsed="1"/>
    <row r="105" spans="2:7" ht="15.9">
      <c r="B105" s="170" t="s">
        <v>309</v>
      </c>
    </row>
    <row r="106" spans="2:7">
      <c r="B106" t="s">
        <v>310</v>
      </c>
      <c r="C106" t="s">
        <v>311</v>
      </c>
      <c r="D106" t="s">
        <v>312</v>
      </c>
      <c r="E106" t="s">
        <v>313</v>
      </c>
      <c r="F106" t="s">
        <v>314</v>
      </c>
      <c r="G106" t="s">
        <v>315</v>
      </c>
    </row>
    <row r="107" spans="2:7" hidden="1" outlineLevel="1">
      <c r="G107">
        <f>Table791354[[#This Row],[Purchase Price]]-Table791354[[#This Row],[Sale Price]]</f>
        <v>0</v>
      </c>
    </row>
    <row r="108" spans="2:7" hidden="1" outlineLevel="1">
      <c r="G108">
        <f>Table791354[[#This Row],[Purchase Price]]-Table791354[[#This Row],[Sale Price]]</f>
        <v>0</v>
      </c>
    </row>
    <row r="109" spans="2:7" hidden="1" outlineLevel="1">
      <c r="G109">
        <f>Table791354[[#This Row],[Purchase Price]]-Table791354[[#This Row],[Sale Price]]</f>
        <v>0</v>
      </c>
    </row>
    <row r="110" spans="2:7" hidden="1" outlineLevel="1">
      <c r="G110">
        <f>Table791354[[#This Row],[Purchase Price]]-Table791354[[#This Row],[Sale Price]]</f>
        <v>0</v>
      </c>
    </row>
    <row r="111" spans="2:7" hidden="1" outlineLevel="1">
      <c r="G111">
        <f>Table791354[[#This Row],[Purchase Price]]-Table791354[[#This Row],[Sale Price]]</f>
        <v>0</v>
      </c>
    </row>
    <row r="112" spans="2:7" hidden="1" outlineLevel="1">
      <c r="G112">
        <f>Table791354[[#This Row],[Purchase Price]]-Table791354[[#This Row],[Sale Price]]</f>
        <v>0</v>
      </c>
    </row>
    <row r="113" spans="7:7" hidden="1" outlineLevel="1">
      <c r="G113">
        <f>Table791354[[#This Row],[Purchase Price]]-Table791354[[#This Row],[Sale Price]]</f>
        <v>0</v>
      </c>
    </row>
    <row r="114" spans="7:7" hidden="1" outlineLevel="1">
      <c r="G114">
        <f>Table791354[[#This Row],[Purchase Price]]-Table791354[[#This Row],[Sale Price]]</f>
        <v>0</v>
      </c>
    </row>
    <row r="115" spans="7:7" hidden="1" outlineLevel="1">
      <c r="G115">
        <f>Table791354[[#This Row],[Purchase Price]]-Table791354[[#This Row],[Sale Price]]</f>
        <v>0</v>
      </c>
    </row>
    <row r="116" spans="7:7" hidden="1" outlineLevel="1">
      <c r="G116">
        <f>Table791354[[#This Row],[Purchase Price]]-Table791354[[#This Row],[Sale Price]]</f>
        <v>0</v>
      </c>
    </row>
    <row r="117" spans="7:7" hidden="1" outlineLevel="1">
      <c r="G117">
        <f>Table791354[[#This Row],[Purchase Price]]-Table791354[[#This Row],[Sale Price]]</f>
        <v>0</v>
      </c>
    </row>
    <row r="118" spans="7:7" hidden="1" outlineLevel="1">
      <c r="G118">
        <f>Table791354[[#This Row],[Purchase Price]]-Table791354[[#This Row],[Sale Price]]</f>
        <v>0</v>
      </c>
    </row>
    <row r="119" spans="7:7" hidden="1" outlineLevel="1">
      <c r="G119">
        <f>Table791354[[#This Row],[Purchase Price]]-Table791354[[#This Row],[Sale Price]]</f>
        <v>0</v>
      </c>
    </row>
    <row r="120" spans="7:7" hidden="1" outlineLevel="1">
      <c r="G120">
        <f>Table791354[[#This Row],[Purchase Price]]-Table791354[[#This Row],[Sale Price]]</f>
        <v>0</v>
      </c>
    </row>
    <row r="121" spans="7:7" hidden="1" outlineLevel="1">
      <c r="G121">
        <f>Table791354[[#This Row],[Purchase Price]]-Table791354[[#This Row],[Sale Price]]</f>
        <v>0</v>
      </c>
    </row>
    <row r="122" spans="7:7" hidden="1" outlineLevel="1">
      <c r="G122">
        <f>Table791354[[#This Row],[Purchase Price]]-Table791354[[#This Row],[Sale Price]]</f>
        <v>0</v>
      </c>
    </row>
    <row r="123" spans="7:7" hidden="1" outlineLevel="1">
      <c r="G123">
        <f>Table791354[[#This Row],[Purchase Price]]-Table791354[[#This Row],[Sale Price]]</f>
        <v>0</v>
      </c>
    </row>
    <row r="124" spans="7:7" hidden="1" outlineLevel="1">
      <c r="G124">
        <f>Table791354[[#This Row],[Purchase Price]]-Table791354[[#This Row],[Sale Price]]</f>
        <v>0</v>
      </c>
    </row>
    <row r="125" spans="7:7" collapsed="1"/>
  </sheetData>
  <mergeCells count="3">
    <mergeCell ref="B3:H3"/>
    <mergeCell ref="C6:D6"/>
    <mergeCell ref="C15:D15"/>
  </mergeCells>
  <hyperlinks>
    <hyperlink ref="B1" location="'All Companies'!A1" display="All Companies" xr:uid="{7F686867-412E-49A0-B6DB-8A758DE84A5B}"/>
    <hyperlink ref="C24" r:id="rId1" xr:uid="{2AF5C769-14B1-406F-B0FC-BC5076BC2BAB}"/>
  </hyperlinks>
  <pageMargins left="0.7" right="0.7" top="0.75" bottom="0.75" header="0.3" footer="0.3"/>
  <tableParts count="4">
    <tablePart r:id="rId2"/>
    <tablePart r:id="rId3"/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623AADD-AA78-4A37-BEEB-E2342C045A37}">
          <x14:formula1>
            <xm:f>'Document Type'!$B$49:$B$51</xm:f>
          </x14:formula1>
          <xm:sqref>C10:C11</xm:sqref>
        </x14:dataValidation>
        <x14:dataValidation type="list" allowBlank="1" showInputMessage="1" showErrorMessage="1" xr:uid="{548C8C9A-0090-428F-9F94-8F5DB57B09C0}">
          <x14:formula1>
            <xm:f>'Document Type'!$B$45:$B$47</xm:f>
          </x14:formula1>
          <xm:sqref>C8 G8</xm:sqref>
        </x14:dataValidation>
        <x14:dataValidation type="list" allowBlank="1" showInputMessage="1" showErrorMessage="1" xr:uid="{AA0B3966-145F-4A80-981C-A86271C7C755}">
          <x14:formula1>
            <xm:f>'Document Type'!$B$38:$B$39</xm:f>
          </x14:formula1>
          <xm:sqref>F15 G13 C13 G6</xm:sqref>
        </x14:dataValidation>
        <x14:dataValidation type="list" allowBlank="1" showInputMessage="1" showErrorMessage="1" xr:uid="{27E69457-2C01-469D-8901-2D211611B781}">
          <x14:formula1>
            <xm:f>'Document Type'!$B$6:$B$34</xm:f>
          </x14:formula1>
          <xm:sqref>C27:C63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F2B3-0C14-47D1-AE58-BD1F630F455B}">
  <dimension ref="B1:Q131"/>
  <sheetViews>
    <sheetView topLeftCell="B1" workbookViewId="0">
      <selection activeCell="G52" sqref="G52"/>
    </sheetView>
  </sheetViews>
  <sheetFormatPr defaultColWidth="8.69140625" defaultRowHeight="14.6" outlineLevelRow="1"/>
  <cols>
    <col min="1" max="1" width="0.69140625" customWidth="1"/>
    <col min="2" max="2" width="47.3046875" customWidth="1"/>
    <col min="3" max="6" width="27.69140625" customWidth="1"/>
    <col min="7" max="7" width="32.4609375" customWidth="1"/>
    <col min="8" max="17" width="27.69140625" customWidth="1"/>
  </cols>
  <sheetData>
    <row r="1" spans="2:10">
      <c r="B1" s="69" t="s">
        <v>195</v>
      </c>
    </row>
    <row r="2" spans="2:10" ht="15" thickBot="1"/>
    <row r="3" spans="2:10" ht="26.8" customHeight="1" thickBot="1">
      <c r="B3" s="373" t="s">
        <v>133</v>
      </c>
      <c r="C3" s="374"/>
      <c r="D3" s="374"/>
      <c r="E3" s="374"/>
      <c r="F3" s="374"/>
      <c r="G3" s="374"/>
      <c r="H3" s="375"/>
      <c r="J3" s="334" t="s">
        <v>333</v>
      </c>
    </row>
    <row r="4" spans="2:10" ht="17.8" customHeight="1">
      <c r="B4" s="245" t="s">
        <v>201</v>
      </c>
      <c r="C4" s="93"/>
      <c r="D4" s="273" t="s">
        <v>202</v>
      </c>
      <c r="E4" s="287" t="s">
        <v>135</v>
      </c>
      <c r="F4" s="93"/>
      <c r="G4" s="273" t="s">
        <v>203</v>
      </c>
      <c r="H4" s="287" t="s">
        <v>136</v>
      </c>
      <c r="J4" t="s">
        <v>334</v>
      </c>
    </row>
    <row r="5" spans="2:10">
      <c r="B5" s="250" t="s">
        <v>206</v>
      </c>
      <c r="C5" s="254">
        <v>44383</v>
      </c>
      <c r="D5" s="254"/>
      <c r="E5" s="256"/>
      <c r="F5" s="274" t="s">
        <v>207</v>
      </c>
      <c r="G5" s="255"/>
      <c r="H5" s="258"/>
      <c r="J5" t="s">
        <v>335</v>
      </c>
    </row>
    <row r="6" spans="2:10">
      <c r="B6" s="251" t="s">
        <v>210</v>
      </c>
      <c r="C6" s="376" t="s">
        <v>336</v>
      </c>
      <c r="D6" s="376"/>
      <c r="E6" s="232"/>
      <c r="F6" s="275" t="s">
        <v>211</v>
      </c>
      <c r="G6" s="232" t="s">
        <v>212</v>
      </c>
      <c r="H6" s="276"/>
      <c r="J6" t="s">
        <v>337</v>
      </c>
    </row>
    <row r="7" spans="2:10">
      <c r="B7" s="250" t="s">
        <v>215</v>
      </c>
      <c r="C7" s="256" t="s">
        <v>134</v>
      </c>
      <c r="D7" s="256"/>
      <c r="E7" s="254"/>
      <c r="F7" s="256"/>
      <c r="G7" s="256"/>
      <c r="H7" s="257"/>
      <c r="J7" t="s">
        <v>338</v>
      </c>
    </row>
    <row r="8" spans="2:10">
      <c r="B8" s="249" t="s">
        <v>218</v>
      </c>
      <c r="C8" s="350" t="s">
        <v>219</v>
      </c>
      <c r="D8" s="232"/>
      <c r="E8" s="252"/>
      <c r="F8" s="275" t="s">
        <v>220</v>
      </c>
      <c r="G8" s="350" t="s">
        <v>221</v>
      </c>
      <c r="H8" s="276"/>
      <c r="J8" t="s">
        <v>339</v>
      </c>
    </row>
    <row r="9" spans="2:10">
      <c r="B9" s="259"/>
      <c r="C9" s="256"/>
      <c r="D9" s="256" t="s">
        <v>224</v>
      </c>
      <c r="E9" s="254"/>
      <c r="F9" s="256"/>
      <c r="G9" s="256"/>
      <c r="H9" s="257"/>
      <c r="J9" t="s">
        <v>340</v>
      </c>
    </row>
    <row r="10" spans="2:10">
      <c r="B10" s="249" t="s">
        <v>227</v>
      </c>
      <c r="C10" s="277"/>
      <c r="D10" s="252"/>
      <c r="E10" s="232"/>
      <c r="F10" s="232"/>
      <c r="G10" s="232"/>
      <c r="H10" s="276"/>
    </row>
    <row r="11" spans="2:10">
      <c r="B11" s="250" t="s">
        <v>231</v>
      </c>
      <c r="C11" s="290"/>
      <c r="D11" s="256"/>
      <c r="E11" s="256"/>
      <c r="F11" s="256"/>
      <c r="G11" s="255"/>
      <c r="H11" s="258"/>
    </row>
    <row r="12" spans="2:10">
      <c r="B12" s="240"/>
      <c r="C12" s="232"/>
      <c r="D12" s="232"/>
      <c r="E12" s="252"/>
      <c r="F12" s="232"/>
      <c r="G12" s="232"/>
      <c r="H12" s="276"/>
    </row>
    <row r="13" spans="2:10">
      <c r="B13" s="250" t="s">
        <v>236</v>
      </c>
      <c r="C13" s="256" t="s">
        <v>212</v>
      </c>
      <c r="D13" s="256"/>
      <c r="E13" s="256"/>
      <c r="F13" s="274" t="s">
        <v>238</v>
      </c>
      <c r="G13" s="256" t="s">
        <v>212</v>
      </c>
      <c r="H13" s="256"/>
    </row>
    <row r="14" spans="2:10">
      <c r="B14" s="242"/>
      <c r="C14" s="233"/>
      <c r="D14" s="233"/>
      <c r="E14" s="275" t="s">
        <v>240</v>
      </c>
      <c r="F14" s="275" t="s">
        <v>241</v>
      </c>
      <c r="G14" s="232"/>
      <c r="H14" s="232"/>
    </row>
    <row r="15" spans="2:10">
      <c r="B15" s="250" t="s">
        <v>243</v>
      </c>
      <c r="C15" s="378"/>
      <c r="D15" s="378"/>
      <c r="E15" s="256"/>
      <c r="F15" s="256"/>
      <c r="G15" s="256"/>
      <c r="H15" s="256"/>
    </row>
    <row r="16" spans="2:10">
      <c r="B16" s="242"/>
      <c r="C16" s="233"/>
      <c r="D16" s="233"/>
      <c r="E16" s="232"/>
      <c r="F16" s="232"/>
      <c r="G16" s="232"/>
      <c r="H16" s="232"/>
    </row>
    <row r="17" spans="2:10">
      <c r="B17" s="250" t="s">
        <v>247</v>
      </c>
      <c r="C17" s="274" t="s">
        <v>248</v>
      </c>
      <c r="D17" s="274" t="s">
        <v>82</v>
      </c>
      <c r="E17" s="300" t="s">
        <v>83</v>
      </c>
      <c r="F17" s="274" t="s">
        <v>249</v>
      </c>
      <c r="G17" s="255"/>
      <c r="H17" s="255"/>
    </row>
    <row r="18" spans="2:10">
      <c r="B18" s="240"/>
      <c r="C18" s="232" t="s">
        <v>317</v>
      </c>
      <c r="D18" s="232" t="s">
        <v>341</v>
      </c>
      <c r="E18" s="232">
        <v>699669</v>
      </c>
      <c r="F18" s="252">
        <v>45282</v>
      </c>
      <c r="G18" s="232"/>
      <c r="H18" s="232"/>
    </row>
    <row r="19" spans="2:10">
      <c r="B19" s="259"/>
      <c r="C19" s="256" t="s">
        <v>342</v>
      </c>
      <c r="D19" s="256" t="s">
        <v>78</v>
      </c>
      <c r="E19" s="260">
        <v>6864378</v>
      </c>
      <c r="F19" s="254">
        <v>45483</v>
      </c>
      <c r="G19" s="256"/>
      <c r="H19" s="256"/>
    </row>
    <row r="20" spans="2:10">
      <c r="B20" s="240"/>
      <c r="C20" s="232" t="s">
        <v>251</v>
      </c>
      <c r="D20" s="232" t="s">
        <v>343</v>
      </c>
      <c r="E20" s="232">
        <v>959276787</v>
      </c>
      <c r="F20" s="252">
        <v>44399</v>
      </c>
      <c r="G20" s="232"/>
      <c r="H20" s="232"/>
    </row>
    <row r="21" spans="2:10">
      <c r="B21" s="259"/>
      <c r="C21" s="256" t="s">
        <v>254</v>
      </c>
      <c r="D21" s="256" t="s">
        <v>255</v>
      </c>
      <c r="E21" s="256">
        <v>305383521</v>
      </c>
      <c r="F21" s="256"/>
      <c r="G21" s="256"/>
      <c r="H21" s="256"/>
    </row>
    <row r="22" spans="2:10">
      <c r="B22" s="240"/>
      <c r="C22" s="232"/>
      <c r="D22" s="232"/>
      <c r="E22" s="252"/>
      <c r="F22" s="232"/>
      <c r="G22" s="232"/>
      <c r="H22" s="232"/>
    </row>
    <row r="24" spans="2:10">
      <c r="B24" t="s">
        <v>259</v>
      </c>
      <c r="C24" s="69" t="s">
        <v>134</v>
      </c>
      <c r="D24" t="s">
        <v>260</v>
      </c>
      <c r="E24" t="s">
        <v>344</v>
      </c>
    </row>
    <row r="26" spans="2:10" ht="15.9">
      <c r="B26" s="170" t="s">
        <v>262</v>
      </c>
      <c r="C26" s="170" t="s">
        <v>263</v>
      </c>
      <c r="D26" s="170" t="s">
        <v>264</v>
      </c>
      <c r="E26" s="170" t="s">
        <v>265</v>
      </c>
      <c r="F26" s="170" t="s">
        <v>266</v>
      </c>
      <c r="G26" s="170" t="s">
        <v>267</v>
      </c>
      <c r="H26" s="170" t="s">
        <v>268</v>
      </c>
      <c r="J26" s="170"/>
    </row>
    <row r="27" spans="2:10" hidden="1" outlineLevel="1">
      <c r="B27" t="s">
        <v>345</v>
      </c>
      <c r="C27" t="s">
        <v>258</v>
      </c>
      <c r="D27" t="str">
        <f>VLOOKUP(C27,'Document Type'!$B$6:$C$34,2,FALSE)</f>
        <v>Trust Deed</v>
      </c>
      <c r="E27" s="218">
        <v>44270</v>
      </c>
      <c r="G27" t="s">
        <v>346</v>
      </c>
      <c r="H27" t="s">
        <v>148</v>
      </c>
    </row>
    <row r="28" spans="2:10" hidden="1" outlineLevel="1">
      <c r="B28" t="s">
        <v>347</v>
      </c>
      <c r="C28" t="s">
        <v>258</v>
      </c>
      <c r="D28" t="str">
        <f>VLOOKUP(C28,'Document Type'!$B$6:$C$34,2,FALSE)</f>
        <v>Trust Deed</v>
      </c>
      <c r="E28" s="218">
        <v>44270</v>
      </c>
      <c r="G28" t="s">
        <v>348</v>
      </c>
      <c r="H28" t="s">
        <v>148</v>
      </c>
    </row>
    <row r="29" spans="2:10" hidden="1" outlineLevel="1">
      <c r="B29" t="s">
        <v>349</v>
      </c>
      <c r="C29" t="s">
        <v>258</v>
      </c>
      <c r="D29" t="str">
        <f>VLOOKUP(C29,'Document Type'!$B$6:$C$34,2,FALSE)</f>
        <v>Trust Deed</v>
      </c>
      <c r="E29" s="218">
        <v>44641</v>
      </c>
      <c r="G29" t="s">
        <v>350</v>
      </c>
      <c r="H29" t="s">
        <v>148</v>
      </c>
    </row>
    <row r="30" spans="2:10" hidden="1" outlineLevel="1">
      <c r="B30" t="s">
        <v>351</v>
      </c>
      <c r="C30" t="s">
        <v>258</v>
      </c>
      <c r="D30" t="str">
        <f>VLOOKUP(C30,'Document Type'!$B$6:$C$34,2,FALSE)</f>
        <v>Trust Deed</v>
      </c>
      <c r="E30" s="218">
        <v>44642</v>
      </c>
      <c r="G30" t="s">
        <v>352</v>
      </c>
      <c r="H30" t="s">
        <v>148</v>
      </c>
    </row>
    <row r="31" spans="2:10" hidden="1" outlineLevel="1">
      <c r="B31" t="s">
        <v>351</v>
      </c>
      <c r="C31" t="s">
        <v>258</v>
      </c>
      <c r="D31" t="str">
        <f>VLOOKUP(C31,'Document Type'!$B$6:$C$34,2,FALSE)</f>
        <v>Trust Deed</v>
      </c>
      <c r="E31" s="218">
        <v>44658</v>
      </c>
      <c r="G31" t="s">
        <v>353</v>
      </c>
      <c r="H31" t="s">
        <v>148</v>
      </c>
    </row>
    <row r="32" spans="2:10" hidden="1" outlineLevel="1">
      <c r="B32" t="s">
        <v>354</v>
      </c>
      <c r="C32" t="s">
        <v>196</v>
      </c>
      <c r="D32" t="str">
        <f>VLOOKUP(C32,'Document Type'!$B$6:$C$34,2,FALSE)</f>
        <v>Loans and Security</v>
      </c>
      <c r="E32" s="218">
        <v>44658</v>
      </c>
      <c r="G32" t="s">
        <v>355</v>
      </c>
      <c r="H32" t="s">
        <v>148</v>
      </c>
    </row>
    <row r="33" spans="2:8" hidden="1" outlineLevel="1">
      <c r="B33" t="s">
        <v>356</v>
      </c>
      <c r="C33" t="s">
        <v>196</v>
      </c>
      <c r="D33" t="str">
        <f>VLOOKUP(C33,'Document Type'!$B$6:$C$34,2,FALSE)</f>
        <v>Loans and Security</v>
      </c>
      <c r="E33" s="218">
        <v>44658</v>
      </c>
      <c r="G33" t="s">
        <v>355</v>
      </c>
      <c r="H33" t="s">
        <v>148</v>
      </c>
    </row>
    <row r="34" spans="2:8" hidden="1" outlineLevel="1">
      <c r="B34" t="s">
        <v>357</v>
      </c>
      <c r="C34" t="s">
        <v>196</v>
      </c>
      <c r="D34" t="str">
        <f>VLOOKUP(C34,'Document Type'!$B$6:$C$34,2,FALSE)</f>
        <v>Loans and Security</v>
      </c>
      <c r="E34" s="218">
        <v>44658</v>
      </c>
      <c r="G34" t="s">
        <v>355</v>
      </c>
      <c r="H34" t="s">
        <v>148</v>
      </c>
    </row>
    <row r="35" spans="2:8" hidden="1" outlineLevel="1">
      <c r="B35" t="s">
        <v>358</v>
      </c>
      <c r="C35" t="s">
        <v>196</v>
      </c>
      <c r="D35" t="str">
        <f>VLOOKUP(C35,'Document Type'!$B$6:$C$34,2,FALSE)</f>
        <v>Loans and Security</v>
      </c>
      <c r="E35" s="218">
        <v>44658</v>
      </c>
      <c r="G35" t="s">
        <v>355</v>
      </c>
      <c r="H35" t="s">
        <v>148</v>
      </c>
    </row>
    <row r="36" spans="2:8" hidden="1" outlineLevel="1">
      <c r="B36" t="s">
        <v>359</v>
      </c>
      <c r="C36" t="s">
        <v>1347</v>
      </c>
      <c r="D36" t="str">
        <f>VLOOKUP(C36,'Document Type'!$B$6:$C$34,2,FALSE)</f>
        <v>Minutes</v>
      </c>
      <c r="E36" s="218">
        <v>44741</v>
      </c>
      <c r="G36" t="s">
        <v>360</v>
      </c>
      <c r="H36" t="s">
        <v>148</v>
      </c>
    </row>
    <row r="37" spans="2:8" hidden="1" outlineLevel="1">
      <c r="B37" t="s">
        <v>361</v>
      </c>
      <c r="C37" t="s">
        <v>1347</v>
      </c>
      <c r="D37" t="str">
        <f>VLOOKUP(C37,'Document Type'!$B$6:$C$34,2,FALSE)</f>
        <v>Minutes</v>
      </c>
      <c r="E37" s="218">
        <v>44742</v>
      </c>
      <c r="G37" t="s">
        <v>361</v>
      </c>
    </row>
    <row r="38" spans="2:8" hidden="1" outlineLevel="1">
      <c r="B38" t="s">
        <v>362</v>
      </c>
      <c r="C38" t="s">
        <v>287</v>
      </c>
      <c r="D38" t="str">
        <f>VLOOKUP(C38,'Document Type'!$B$6:$C$34,2,FALSE)</f>
        <v>General</v>
      </c>
      <c r="E38" s="218">
        <v>44767</v>
      </c>
      <c r="G38" t="s">
        <v>363</v>
      </c>
      <c r="H38" t="s">
        <v>148</v>
      </c>
    </row>
    <row r="39" spans="2:8" hidden="1" outlineLevel="1">
      <c r="B39" t="s">
        <v>359</v>
      </c>
      <c r="C39" t="s">
        <v>1347</v>
      </c>
      <c r="D39" t="str">
        <f>VLOOKUP(C39,'Document Type'!$B$6:$C$34,2,FALSE)</f>
        <v>Minutes</v>
      </c>
      <c r="E39" s="218">
        <v>45107</v>
      </c>
      <c r="G39" t="s">
        <v>364</v>
      </c>
      <c r="H39" t="s">
        <v>148</v>
      </c>
    </row>
    <row r="40" spans="2:8" hidden="1" outlineLevel="1">
      <c r="B40" t="s">
        <v>365</v>
      </c>
      <c r="C40" t="s">
        <v>1347</v>
      </c>
      <c r="D40" t="str">
        <f>VLOOKUP(C40,'Document Type'!$B$6:$C$34,2,FALSE)</f>
        <v>Minutes</v>
      </c>
      <c r="E40" s="218">
        <v>45107</v>
      </c>
      <c r="G40" t="s">
        <v>366</v>
      </c>
      <c r="H40" t="s">
        <v>148</v>
      </c>
    </row>
    <row r="41" spans="2:8" hidden="1" outlineLevel="1">
      <c r="B41" t="s">
        <v>1329</v>
      </c>
      <c r="C41" t="s">
        <v>258</v>
      </c>
      <c r="D41" t="str">
        <f>VLOOKUP(C41,'Document Type'!$B$6:$C$34,2,FALSE)</f>
        <v>Trust Deed</v>
      </c>
      <c r="E41" s="218">
        <v>45282</v>
      </c>
      <c r="G41" t="s">
        <v>367</v>
      </c>
      <c r="H41" t="s">
        <v>148</v>
      </c>
    </row>
    <row r="42" spans="2:8" hidden="1" outlineLevel="1">
      <c r="B42" s="14" t="s">
        <v>272</v>
      </c>
      <c r="C42" t="s">
        <v>234</v>
      </c>
      <c r="D42" t="str">
        <f>VLOOKUP(C42,'Document Type'!$B$6:$C$34,2,FALSE)</f>
        <v>General</v>
      </c>
      <c r="E42" s="218">
        <v>45471</v>
      </c>
      <c r="G42" t="s">
        <v>368</v>
      </c>
      <c r="H42" t="s">
        <v>148</v>
      </c>
    </row>
    <row r="43" spans="2:8" hidden="1" outlineLevel="1">
      <c r="B43" t="s">
        <v>369</v>
      </c>
      <c r="C43" t="s">
        <v>1347</v>
      </c>
      <c r="D43" t="str">
        <f>VLOOKUP(C43,'Document Type'!$B$6:$C$34,2,FALSE)</f>
        <v>Minutes</v>
      </c>
      <c r="E43" s="218">
        <v>45472</v>
      </c>
      <c r="G43" t="s">
        <v>369</v>
      </c>
      <c r="H43" t="s">
        <v>148</v>
      </c>
    </row>
    <row r="44" spans="2:8" hidden="1" outlineLevel="1">
      <c r="B44" t="s">
        <v>370</v>
      </c>
      <c r="C44" t="s">
        <v>370</v>
      </c>
      <c r="D44" t="str">
        <f>VLOOKUP(C44,'Document Type'!$B$6:$C$34,2,FALSE)</f>
        <v>Loans and Security</v>
      </c>
      <c r="E44" s="218">
        <v>45108</v>
      </c>
      <c r="G44" t="s">
        <v>371</v>
      </c>
      <c r="H44" t="s">
        <v>148</v>
      </c>
    </row>
    <row r="45" spans="2:8" hidden="1" outlineLevel="1">
      <c r="B45" t="s">
        <v>1289</v>
      </c>
      <c r="C45" t="s">
        <v>245</v>
      </c>
      <c r="D45" t="str">
        <f>VLOOKUP(C45,'Document Type'!$B$6:$C$34,2,FALSE)</f>
        <v>General</v>
      </c>
      <c r="E45" s="218">
        <v>45562</v>
      </c>
      <c r="G45" t="s">
        <v>1297</v>
      </c>
      <c r="H45" t="s">
        <v>439</v>
      </c>
    </row>
    <row r="46" spans="2:8" hidden="1" outlineLevel="1">
      <c r="B46" t="s">
        <v>1290</v>
      </c>
      <c r="C46" t="s">
        <v>245</v>
      </c>
      <c r="D46" t="str">
        <f>VLOOKUP(C46,'Document Type'!$B$6:$C$34,2,FALSE)</f>
        <v>General</v>
      </c>
      <c r="E46" s="218">
        <v>45562</v>
      </c>
      <c r="G46" t="s">
        <v>1298</v>
      </c>
      <c r="H46" t="s">
        <v>439</v>
      </c>
    </row>
    <row r="47" spans="2:8" hidden="1" outlineLevel="1">
      <c r="B47" t="s">
        <v>1291</v>
      </c>
      <c r="C47" t="s">
        <v>245</v>
      </c>
      <c r="D47" t="str">
        <f>VLOOKUP(C47,'Document Type'!$B$6:$C$34,2,FALSE)</f>
        <v>General</v>
      </c>
      <c r="E47" s="218">
        <v>45562</v>
      </c>
      <c r="G47" t="s">
        <v>1302</v>
      </c>
      <c r="H47" t="s">
        <v>439</v>
      </c>
    </row>
    <row r="48" spans="2:8" hidden="1" outlineLevel="1">
      <c r="B48" t="s">
        <v>1293</v>
      </c>
      <c r="C48" t="s">
        <v>245</v>
      </c>
      <c r="D48" t="str">
        <f>VLOOKUP(C48,'Document Type'!$B$6:$C$34,2,FALSE)</f>
        <v>General</v>
      </c>
      <c r="E48" s="218">
        <v>45562</v>
      </c>
      <c r="G48" t="s">
        <v>1292</v>
      </c>
      <c r="H48" t="s">
        <v>439</v>
      </c>
    </row>
    <row r="49" spans="2:8" hidden="1" outlineLevel="1">
      <c r="B49" t="s">
        <v>1294</v>
      </c>
      <c r="C49" t="s">
        <v>245</v>
      </c>
      <c r="D49" t="str">
        <f>VLOOKUP(C49,'Document Type'!$B$6:$C$34,2,FALSE)</f>
        <v>General</v>
      </c>
      <c r="E49" s="218">
        <v>45562</v>
      </c>
      <c r="G49" t="s">
        <v>1299</v>
      </c>
      <c r="H49" t="s">
        <v>439</v>
      </c>
    </row>
    <row r="50" spans="2:8" hidden="1" outlineLevel="1">
      <c r="B50" t="s">
        <v>1295</v>
      </c>
      <c r="C50" t="s">
        <v>245</v>
      </c>
      <c r="D50" t="str">
        <f>VLOOKUP(C50,'Document Type'!$B$6:$C$34,2,FALSE)</f>
        <v>General</v>
      </c>
      <c r="E50" s="218">
        <v>45562</v>
      </c>
      <c r="G50" t="s">
        <v>1300</v>
      </c>
      <c r="H50" t="s">
        <v>439</v>
      </c>
    </row>
    <row r="51" spans="2:8" hidden="1" outlineLevel="1">
      <c r="B51" t="s">
        <v>1296</v>
      </c>
      <c r="C51" t="s">
        <v>245</v>
      </c>
      <c r="D51" t="str">
        <f>VLOOKUP(C51,'Document Type'!$B$6:$C$34,2,FALSE)</f>
        <v>General</v>
      </c>
      <c r="E51" s="218">
        <v>45562</v>
      </c>
      <c r="G51" t="s">
        <v>1301</v>
      </c>
      <c r="H51" t="s">
        <v>439</v>
      </c>
    </row>
    <row r="52" spans="2:8" outlineLevel="1">
      <c r="B52" t="s">
        <v>1338</v>
      </c>
      <c r="C52" t="s">
        <v>229</v>
      </c>
      <c r="D52" t="str">
        <f>VLOOKUP(C52,'Document Type'!$B$6:$C$34,2,FALSE)</f>
        <v>Assets</v>
      </c>
      <c r="E52" s="218">
        <v>45679</v>
      </c>
      <c r="G52" s="69" t="s">
        <v>1339</v>
      </c>
      <c r="H52" t="s">
        <v>439</v>
      </c>
    </row>
    <row r="53" spans="2:8" outlineLevel="1">
      <c r="B53" t="s">
        <v>1340</v>
      </c>
      <c r="C53" t="s">
        <v>229</v>
      </c>
      <c r="D53" t="str">
        <f>VLOOKUP(C53,'Document Type'!$B$6:$C$34,2,FALSE)</f>
        <v>Assets</v>
      </c>
      <c r="E53" s="218">
        <v>45796</v>
      </c>
      <c r="G53" t="s">
        <v>1341</v>
      </c>
      <c r="H53" t="s">
        <v>439</v>
      </c>
    </row>
    <row r="54" spans="2:8" outlineLevel="1">
      <c r="B54" t="s">
        <v>1342</v>
      </c>
      <c r="C54" t="s">
        <v>229</v>
      </c>
      <c r="D54" t="str">
        <f>VLOOKUP(C54,'Document Type'!$B$6:$C$34,2,FALSE)</f>
        <v>Assets</v>
      </c>
      <c r="E54" s="218">
        <v>44270</v>
      </c>
      <c r="G54" t="s">
        <v>1342</v>
      </c>
      <c r="H54" t="s">
        <v>439</v>
      </c>
    </row>
    <row r="55" spans="2:8" outlineLevel="1">
      <c r="B55" t="s">
        <v>1343</v>
      </c>
      <c r="C55" t="s">
        <v>229</v>
      </c>
      <c r="D55" t="str">
        <f>VLOOKUP(C55,'Document Type'!$B$6:$C$34,2,FALSE)</f>
        <v>Assets</v>
      </c>
      <c r="E55" s="218">
        <v>44270</v>
      </c>
      <c r="G55" t="s">
        <v>1343</v>
      </c>
      <c r="H55" t="s">
        <v>439</v>
      </c>
    </row>
    <row r="56" spans="2:8" outlineLevel="1">
      <c r="B56" t="s">
        <v>1344</v>
      </c>
      <c r="C56" t="s">
        <v>229</v>
      </c>
      <c r="D56" t="str">
        <f>VLOOKUP(C56,'Document Type'!$B$6:$C$34,2,FALSE)</f>
        <v>Assets</v>
      </c>
      <c r="E56" s="218">
        <v>44270</v>
      </c>
      <c r="G56" t="s">
        <v>1344</v>
      </c>
      <c r="H56" t="s">
        <v>439</v>
      </c>
    </row>
    <row r="57" spans="2:8" outlineLevel="1">
      <c r="B57" t="s">
        <v>1345</v>
      </c>
      <c r="C57" t="s">
        <v>229</v>
      </c>
      <c r="D57" t="str">
        <f>VLOOKUP(C57,'Document Type'!$B$6:$C$34,2,FALSE)</f>
        <v>Assets</v>
      </c>
      <c r="E57" s="218">
        <v>44270</v>
      </c>
      <c r="G57" t="s">
        <v>1345</v>
      </c>
      <c r="H57" t="s">
        <v>439</v>
      </c>
    </row>
    <row r="58" spans="2:8" hidden="1" outlineLevel="1">
      <c r="B58" t="s">
        <v>1346</v>
      </c>
      <c r="C58" t="s">
        <v>1347</v>
      </c>
      <c r="D58" t="str">
        <f>VLOOKUP(C58,'Document Type'!$B$6:$C$34,2,FALSE)</f>
        <v>Minutes</v>
      </c>
      <c r="E58" s="218">
        <v>45838</v>
      </c>
      <c r="G58" t="s">
        <v>1346</v>
      </c>
      <c r="H58" t="s">
        <v>1236</v>
      </c>
    </row>
    <row r="59" spans="2:8" hidden="1" outlineLevel="1">
      <c r="B59" t="s">
        <v>1352</v>
      </c>
      <c r="C59" t="s">
        <v>1280</v>
      </c>
      <c r="D59" t="str">
        <f>VLOOKUP(C59,'Document Type'!$B$6:$C$34,2,FALSE)</f>
        <v>BAS</v>
      </c>
      <c r="E59" s="218">
        <v>45849</v>
      </c>
      <c r="G59" t="s">
        <v>1352</v>
      </c>
      <c r="H59" t="s">
        <v>439</v>
      </c>
    </row>
    <row r="60" spans="2:8" hidden="1" outlineLevel="1">
      <c r="B60" t="s">
        <v>1355</v>
      </c>
      <c r="C60" t="s">
        <v>1349</v>
      </c>
      <c r="D60" t="str">
        <f>VLOOKUP(C60,'Document Type'!$B$6:$C$34,2,FALSE)</f>
        <v>General</v>
      </c>
      <c r="E60" s="218">
        <v>45852</v>
      </c>
      <c r="G60" t="s">
        <v>1356</v>
      </c>
      <c r="H60" t="s">
        <v>439</v>
      </c>
    </row>
    <row r="61" spans="2:8" hidden="1" outlineLevel="1">
      <c r="B61" t="s">
        <v>1357</v>
      </c>
      <c r="C61" t="s">
        <v>1349</v>
      </c>
      <c r="D61" t="str">
        <f>VLOOKUP(C61,'Document Type'!$B$6:$C$34,2,FALSE)</f>
        <v>General</v>
      </c>
      <c r="E61" s="218">
        <v>45852</v>
      </c>
      <c r="G61" t="s">
        <v>1358</v>
      </c>
      <c r="H61" t="s">
        <v>439</v>
      </c>
    </row>
    <row r="62" spans="2:8" hidden="1" outlineLevel="1">
      <c r="C62" t="s">
        <v>1349</v>
      </c>
      <c r="D62" t="str">
        <f>VLOOKUP(C62,'Document Type'!$B$6:$C$34,2,FALSE)</f>
        <v>General</v>
      </c>
    </row>
    <row r="63" spans="2:8" hidden="1">
      <c r="B63" t="s">
        <v>1278</v>
      </c>
      <c r="C63" t="s">
        <v>196</v>
      </c>
      <c r="D63" t="s">
        <v>755</v>
      </c>
      <c r="E63" s="218">
        <v>45517</v>
      </c>
      <c r="G63" t="s">
        <v>1276</v>
      </c>
    </row>
    <row r="64" spans="2:8" hidden="1">
      <c r="B64" t="s">
        <v>1277</v>
      </c>
      <c r="C64" t="s">
        <v>196</v>
      </c>
      <c r="D64" t="str">
        <f>VLOOKUP(C64,'Document Type'!$B$6:$C$34,2,FALSE)</f>
        <v>Loans and Security</v>
      </c>
      <c r="E64" s="218">
        <v>45474</v>
      </c>
      <c r="G64" t="s">
        <v>1279</v>
      </c>
    </row>
    <row r="65" spans="2:17" hidden="1">
      <c r="B65" t="s">
        <v>1371</v>
      </c>
      <c r="C65" t="s">
        <v>245</v>
      </c>
      <c r="D65" t="str">
        <f>VLOOKUP(C65,'Document Type'!$B$6:$C$34,2,FALSE)</f>
        <v>General</v>
      </c>
      <c r="E65" s="218">
        <v>45884</v>
      </c>
      <c r="G65" t="s">
        <v>1370</v>
      </c>
      <c r="H65" t="s">
        <v>148</v>
      </c>
    </row>
    <row r="66" spans="2:17" hidden="1">
      <c r="B66" t="s">
        <v>1371</v>
      </c>
      <c r="C66" t="s">
        <v>245</v>
      </c>
      <c r="D66" t="str">
        <f>VLOOKUP(C66,'Document Type'!$B$6:$C$34,2,FALSE)</f>
        <v>General</v>
      </c>
      <c r="E66" s="218">
        <v>45884</v>
      </c>
      <c r="G66" t="s">
        <v>1372</v>
      </c>
      <c r="H66" t="s">
        <v>148</v>
      </c>
    </row>
    <row r="67" spans="2:17" hidden="1">
      <c r="B67" t="s">
        <v>1371</v>
      </c>
      <c r="C67" t="s">
        <v>245</v>
      </c>
      <c r="D67" t="str">
        <f>VLOOKUP(C67,'Document Type'!$B$6:$C$34,2,FALSE)</f>
        <v>General</v>
      </c>
      <c r="E67" s="218">
        <v>45884</v>
      </c>
      <c r="G67" t="s">
        <v>1373</v>
      </c>
      <c r="H67" t="s">
        <v>148</v>
      </c>
    </row>
    <row r="68" spans="2:17" hidden="1">
      <c r="B68" t="s">
        <v>1390</v>
      </c>
      <c r="C68" t="s">
        <v>1280</v>
      </c>
      <c r="D68" t="str">
        <f>VLOOKUP(C68,'Document Type'!$B$6:$C$34,2,FALSE)</f>
        <v>BAS</v>
      </c>
      <c r="E68" s="218">
        <v>45891</v>
      </c>
      <c r="G68" t="s">
        <v>1389</v>
      </c>
    </row>
    <row r="69" spans="2:17" hidden="1">
      <c r="E69" s="218"/>
    </row>
    <row r="70" spans="2:17" hidden="1">
      <c r="E70" s="218"/>
    </row>
    <row r="71" spans="2:17" hidden="1">
      <c r="E71" s="218"/>
    </row>
    <row r="72" spans="2:17" hidden="1">
      <c r="E72" s="218"/>
    </row>
    <row r="73" spans="2:17" hidden="1">
      <c r="E73" s="218"/>
    </row>
    <row r="74" spans="2:17" ht="15.9">
      <c r="B74" s="170" t="s">
        <v>289</v>
      </c>
    </row>
    <row r="75" spans="2:17" s="199" customFormat="1">
      <c r="B75" s="350" t="s">
        <v>265</v>
      </c>
      <c r="C75" s="350" t="s">
        <v>290</v>
      </c>
      <c r="D75" s="350" t="s">
        <v>291</v>
      </c>
      <c r="E75" s="351" t="s">
        <v>292</v>
      </c>
      <c r="F75" s="350" t="s">
        <v>293</v>
      </c>
      <c r="G75" s="350" t="s">
        <v>294</v>
      </c>
      <c r="H75" s="352" t="s">
        <v>295</v>
      </c>
      <c r="I75" s="353" t="s">
        <v>296</v>
      </c>
      <c r="J75" s="354" t="s">
        <v>297</v>
      </c>
      <c r="K75" s="199" t="s">
        <v>298</v>
      </c>
      <c r="L75" s="199" t="s">
        <v>299</v>
      </c>
      <c r="M75" s="199" t="s">
        <v>300</v>
      </c>
      <c r="N75" s="354" t="s">
        <v>301</v>
      </c>
      <c r="O75" s="199" t="s">
        <v>302</v>
      </c>
      <c r="P75" s="199" t="s">
        <v>303</v>
      </c>
      <c r="Q75" s="199" t="s">
        <v>304</v>
      </c>
    </row>
    <row r="76" spans="2:17" outlineLevel="1">
      <c r="B76" s="140"/>
      <c r="C76" s="93"/>
      <c r="D76" s="93"/>
      <c r="E76" s="93"/>
      <c r="F76" s="93"/>
      <c r="G76" s="93"/>
      <c r="H76" s="93"/>
      <c r="I76" s="93"/>
      <c r="J76" s="209"/>
      <c r="K76" s="93"/>
      <c r="L76" s="93"/>
      <c r="M76" s="93"/>
      <c r="N76" s="209"/>
      <c r="O76" s="93"/>
      <c r="P76" s="93"/>
      <c r="Q76" s="93"/>
    </row>
    <row r="77" spans="2:17" outlineLevel="1">
      <c r="B77" s="140"/>
      <c r="C77" s="93"/>
      <c r="D77" s="93"/>
      <c r="E77" s="93"/>
      <c r="F77" s="93"/>
      <c r="G77" s="93"/>
      <c r="H77" s="93"/>
      <c r="I77" s="93"/>
      <c r="J77" s="209"/>
      <c r="K77" s="93"/>
      <c r="L77" s="93"/>
      <c r="M77" s="93"/>
      <c r="N77" s="209"/>
      <c r="O77" s="93"/>
      <c r="P77" s="93"/>
      <c r="Q77" s="93"/>
    </row>
    <row r="78" spans="2:17" outlineLevel="1">
      <c r="B78" s="140"/>
      <c r="C78" s="93"/>
      <c r="D78" s="93"/>
      <c r="E78" s="93"/>
      <c r="F78" s="93"/>
      <c r="G78" s="93"/>
      <c r="H78" s="93"/>
      <c r="I78" s="93"/>
      <c r="J78" s="209"/>
      <c r="K78" s="93"/>
      <c r="L78" s="93"/>
      <c r="M78" s="93"/>
      <c r="N78" s="209"/>
      <c r="O78" s="93"/>
      <c r="P78" s="93"/>
      <c r="Q78" s="93"/>
    </row>
    <row r="79" spans="2:17" outlineLevel="1">
      <c r="B79" s="140"/>
      <c r="C79" s="93"/>
      <c r="D79" s="93"/>
      <c r="E79" s="93"/>
      <c r="F79" s="93"/>
      <c r="G79" s="93"/>
      <c r="H79" s="93"/>
      <c r="I79" s="93"/>
      <c r="J79" s="209"/>
      <c r="K79" s="93"/>
      <c r="L79" s="93"/>
      <c r="M79" s="93"/>
      <c r="N79" s="209"/>
      <c r="O79" s="93"/>
      <c r="P79" s="93"/>
      <c r="Q79" s="93"/>
    </row>
    <row r="80" spans="2:17" outlineLevel="1">
      <c r="B80" s="140"/>
      <c r="C80" s="93"/>
      <c r="D80" s="93"/>
      <c r="E80" s="93"/>
      <c r="F80" s="93"/>
      <c r="G80" s="93"/>
      <c r="H80" s="93"/>
      <c r="I80" s="93"/>
      <c r="J80" s="209"/>
      <c r="K80" s="93"/>
      <c r="L80" s="93"/>
      <c r="M80" s="93"/>
      <c r="N80" s="209"/>
      <c r="O80" s="93"/>
      <c r="P80" s="93"/>
      <c r="Q80" s="93"/>
    </row>
    <row r="81" spans="2:17" outlineLevel="1">
      <c r="B81" s="140"/>
      <c r="C81" s="93"/>
      <c r="D81" s="93"/>
      <c r="E81" s="93"/>
      <c r="F81" s="93"/>
      <c r="G81" s="93"/>
      <c r="H81" s="93"/>
      <c r="I81" s="93"/>
      <c r="J81" s="209"/>
      <c r="K81" s="93"/>
      <c r="L81" s="93"/>
      <c r="M81" s="93"/>
      <c r="N81" s="209"/>
      <c r="O81" s="93"/>
      <c r="P81" s="93"/>
      <c r="Q81" s="93"/>
    </row>
    <row r="82" spans="2:17" outlineLevel="1">
      <c r="B82" s="140"/>
      <c r="C82" s="93"/>
      <c r="D82" s="93"/>
      <c r="E82" s="93"/>
      <c r="F82" s="93"/>
      <c r="G82" s="93"/>
      <c r="H82" s="93"/>
      <c r="I82" s="93"/>
      <c r="J82" s="209"/>
      <c r="K82" s="93"/>
      <c r="L82" s="93"/>
      <c r="M82" s="93"/>
      <c r="N82" s="209"/>
      <c r="O82" s="93"/>
      <c r="P82" s="93"/>
      <c r="Q82" s="93"/>
    </row>
    <row r="83" spans="2:17" outlineLevel="1">
      <c r="B83" s="140"/>
      <c r="C83" s="93"/>
      <c r="D83" s="93"/>
      <c r="E83" s="93"/>
      <c r="F83" s="93"/>
      <c r="G83" s="93"/>
      <c r="H83" s="93"/>
      <c r="I83" s="93"/>
      <c r="J83" s="209"/>
      <c r="K83" s="93"/>
      <c r="L83" s="93"/>
      <c r="M83" s="93"/>
      <c r="N83" s="209"/>
      <c r="O83" s="93"/>
      <c r="P83" s="93"/>
      <c r="Q83" s="93"/>
    </row>
    <row r="84" spans="2:17" outlineLevel="1">
      <c r="B84" s="140"/>
      <c r="C84" s="93"/>
      <c r="D84" s="93"/>
      <c r="E84" s="93"/>
      <c r="F84" s="93"/>
      <c r="G84" s="93"/>
      <c r="H84" s="93"/>
      <c r="I84" s="93"/>
      <c r="J84" s="209"/>
      <c r="K84" s="93"/>
      <c r="L84" s="93"/>
      <c r="M84" s="93"/>
      <c r="N84" s="209"/>
      <c r="O84" s="93"/>
      <c r="P84" s="93"/>
      <c r="Q84" s="93"/>
    </row>
    <row r="85" spans="2:17" outlineLevel="1">
      <c r="B85" s="140"/>
      <c r="C85" s="93"/>
      <c r="D85" s="93"/>
      <c r="E85" s="93"/>
      <c r="F85" s="93"/>
      <c r="G85" s="93"/>
      <c r="H85" s="93"/>
      <c r="I85" s="93"/>
      <c r="J85" s="209"/>
      <c r="K85" s="93"/>
      <c r="L85" s="93"/>
      <c r="M85" s="93"/>
      <c r="N85" s="209"/>
      <c r="O85" s="93"/>
      <c r="P85" s="93"/>
      <c r="Q85" s="93"/>
    </row>
    <row r="86" spans="2:17" outlineLevel="1">
      <c r="B86" s="140"/>
      <c r="C86" s="93"/>
      <c r="D86" s="93"/>
      <c r="E86" s="93"/>
      <c r="F86" s="93"/>
      <c r="G86" s="93"/>
      <c r="H86" s="93"/>
      <c r="I86" s="93"/>
      <c r="J86" s="209"/>
      <c r="K86" s="93"/>
      <c r="L86" s="93"/>
      <c r="M86" s="93"/>
      <c r="N86" s="209"/>
      <c r="O86" s="93"/>
      <c r="P86" s="93"/>
      <c r="Q86" s="93"/>
    </row>
    <row r="87" spans="2:17" outlineLevel="1">
      <c r="B87" s="140"/>
      <c r="C87" s="93"/>
      <c r="D87" s="93"/>
      <c r="E87" s="93"/>
      <c r="F87" s="93"/>
      <c r="G87" s="93"/>
      <c r="H87" s="93"/>
      <c r="I87" s="93"/>
      <c r="J87" s="209"/>
      <c r="K87" s="93"/>
      <c r="L87" s="93"/>
      <c r="M87" s="93"/>
      <c r="N87" s="209"/>
      <c r="O87" s="93"/>
      <c r="P87" s="93"/>
      <c r="Q87" s="93"/>
    </row>
    <row r="88" spans="2:17" outlineLevel="1">
      <c r="B88" s="140"/>
      <c r="C88" s="93"/>
      <c r="D88" s="93"/>
      <c r="E88" s="93"/>
      <c r="F88" s="93"/>
      <c r="G88" s="93"/>
      <c r="H88" s="93"/>
      <c r="I88" s="93"/>
      <c r="J88" s="209"/>
      <c r="K88" s="93"/>
      <c r="L88" s="93"/>
      <c r="M88" s="93"/>
      <c r="N88" s="209"/>
      <c r="O88" s="93"/>
      <c r="P88" s="93"/>
      <c r="Q88" s="93"/>
    </row>
    <row r="89" spans="2:17" outlineLevel="1">
      <c r="B89" s="140"/>
      <c r="C89" s="93"/>
      <c r="D89" s="93"/>
      <c r="E89" s="93"/>
      <c r="F89" s="93"/>
      <c r="G89" s="93"/>
      <c r="H89" s="93"/>
      <c r="I89" s="93"/>
      <c r="J89" s="209"/>
      <c r="K89" s="93"/>
      <c r="L89" s="93"/>
      <c r="M89" s="93"/>
      <c r="N89" s="209"/>
      <c r="O89" s="93"/>
      <c r="P89" s="93"/>
      <c r="Q89" s="93"/>
    </row>
    <row r="90" spans="2:17" outlineLevel="1">
      <c r="B90" s="140"/>
      <c r="C90" s="93"/>
      <c r="D90" s="93"/>
      <c r="E90" s="93"/>
      <c r="F90" s="93"/>
      <c r="G90" s="93"/>
      <c r="H90" s="93"/>
      <c r="I90" s="93"/>
      <c r="J90" s="209"/>
      <c r="K90" s="93"/>
      <c r="L90" s="93"/>
      <c r="M90" s="93"/>
      <c r="N90" s="209"/>
      <c r="O90" s="93"/>
      <c r="P90" s="93"/>
      <c r="Q90" s="93"/>
    </row>
    <row r="91" spans="2:17" outlineLevel="1">
      <c r="B91" s="140"/>
      <c r="C91" s="93"/>
      <c r="D91" s="93"/>
      <c r="E91" s="93"/>
      <c r="F91" s="93"/>
      <c r="G91" s="93"/>
      <c r="H91" s="93"/>
      <c r="I91" s="93"/>
      <c r="J91" s="209"/>
      <c r="K91" s="93"/>
      <c r="L91" s="93"/>
      <c r="M91" s="93"/>
      <c r="N91" s="209"/>
      <c r="O91" s="93"/>
      <c r="P91" s="93"/>
      <c r="Q91" s="93"/>
    </row>
    <row r="92" spans="2:17" outlineLevel="1">
      <c r="B92" s="140"/>
      <c r="C92" s="93"/>
      <c r="D92" s="93"/>
      <c r="E92" s="93"/>
      <c r="F92" s="93"/>
      <c r="G92" s="93"/>
      <c r="H92" s="93"/>
      <c r="I92" s="93"/>
      <c r="J92" s="209"/>
      <c r="K92" s="93"/>
      <c r="L92" s="93"/>
      <c r="M92" s="93"/>
      <c r="N92" s="209"/>
      <c r="O92" s="93"/>
      <c r="P92" s="93"/>
      <c r="Q92" s="93"/>
    </row>
    <row r="93" spans="2:17" outlineLevel="1">
      <c r="B93" s="140"/>
      <c r="C93" s="93"/>
      <c r="D93" s="93"/>
      <c r="E93" s="93"/>
      <c r="F93" s="93"/>
      <c r="G93" s="93"/>
      <c r="H93" s="93"/>
      <c r="I93" s="93"/>
      <c r="J93" s="209"/>
      <c r="K93" s="93"/>
      <c r="L93" s="93"/>
      <c r="M93" s="93"/>
      <c r="N93" s="209"/>
      <c r="O93" s="93"/>
      <c r="P93" s="93"/>
      <c r="Q93" s="93"/>
    </row>
    <row r="94" spans="2:17" outlineLevel="1">
      <c r="B94" s="93"/>
      <c r="C94" s="93"/>
      <c r="D94" s="93"/>
      <c r="E94" s="93"/>
      <c r="F94" s="93"/>
      <c r="G94" s="93"/>
      <c r="H94" s="93"/>
      <c r="I94" s="93"/>
      <c r="J94" s="209"/>
      <c r="K94" s="93"/>
      <c r="L94" s="93"/>
      <c r="M94" s="93"/>
      <c r="N94" s="209"/>
      <c r="O94" s="93"/>
      <c r="P94" s="93"/>
      <c r="Q94" s="93"/>
    </row>
    <row r="95" spans="2:17" outlineLevel="1">
      <c r="B95" s="93"/>
      <c r="C95" s="93"/>
      <c r="D95" s="93"/>
      <c r="E95" s="93"/>
      <c r="F95" s="93"/>
      <c r="G95" s="93"/>
      <c r="H95" s="93"/>
      <c r="I95" s="93"/>
      <c r="J95" s="209"/>
      <c r="K95" s="93"/>
      <c r="L95" s="93"/>
      <c r="M95" s="93"/>
      <c r="N95" s="209"/>
      <c r="O95" s="93"/>
      <c r="P95" s="93"/>
      <c r="Q95" s="93"/>
    </row>
    <row r="96" spans="2:17" outlineLevel="1">
      <c r="B96" s="93"/>
      <c r="C96" s="93"/>
      <c r="D96" s="93"/>
      <c r="E96" s="93"/>
      <c r="F96" s="93"/>
      <c r="G96" s="93"/>
      <c r="H96" s="93"/>
      <c r="I96" s="93"/>
      <c r="J96" s="209"/>
      <c r="K96" s="93"/>
      <c r="L96" s="93"/>
      <c r="M96" s="93"/>
      <c r="N96" s="209"/>
      <c r="O96" s="93"/>
      <c r="P96" s="93"/>
      <c r="Q96" s="93"/>
    </row>
    <row r="97" spans="2:17" outlineLevel="1">
      <c r="B97" s="93"/>
      <c r="C97" s="93"/>
      <c r="D97" s="93"/>
      <c r="E97" s="93"/>
      <c r="F97" s="93"/>
      <c r="G97" s="93"/>
      <c r="H97" s="93"/>
      <c r="I97" s="93"/>
      <c r="J97" s="209"/>
      <c r="K97" s="93"/>
      <c r="L97" s="93"/>
      <c r="M97" s="93"/>
      <c r="N97" s="209"/>
      <c r="O97" s="93"/>
      <c r="P97" s="93"/>
      <c r="Q97" s="93"/>
    </row>
    <row r="98" spans="2:17" outlineLevel="1">
      <c r="B98" s="93"/>
      <c r="C98" s="93"/>
      <c r="D98" s="93"/>
      <c r="E98" s="93"/>
      <c r="F98" s="93"/>
      <c r="G98" s="93"/>
      <c r="H98" s="93"/>
      <c r="I98" s="93"/>
      <c r="J98" s="209"/>
      <c r="K98" s="93"/>
      <c r="L98" s="93"/>
      <c r="M98" s="93"/>
      <c r="N98" s="209"/>
      <c r="O98" s="93"/>
      <c r="P98" s="93"/>
      <c r="Q98" s="93"/>
    </row>
    <row r="99" spans="2:17" outlineLevel="1">
      <c r="B99" s="93"/>
      <c r="C99" s="93"/>
      <c r="D99" s="93"/>
      <c r="E99" s="93"/>
      <c r="F99" s="93"/>
      <c r="G99" s="93"/>
      <c r="H99" s="93"/>
      <c r="I99" s="93"/>
      <c r="J99" s="209"/>
      <c r="K99" s="93"/>
      <c r="L99" s="93"/>
      <c r="M99" s="93"/>
      <c r="N99" s="209"/>
      <c r="O99" s="93"/>
      <c r="P99" s="93"/>
      <c r="Q99" s="93"/>
    </row>
    <row r="100" spans="2:17" outlineLevel="1">
      <c r="B100" s="93"/>
      <c r="C100" s="93"/>
      <c r="D100" s="93"/>
      <c r="E100" s="93"/>
      <c r="F100" s="93"/>
      <c r="G100" s="93"/>
      <c r="H100" s="93"/>
      <c r="I100" s="93"/>
      <c r="J100" s="209"/>
      <c r="K100" s="93"/>
      <c r="L100" s="93"/>
      <c r="M100" s="93"/>
      <c r="N100" s="209"/>
      <c r="O100" s="93"/>
      <c r="P100" s="93"/>
      <c r="Q100" s="93"/>
    </row>
    <row r="101" spans="2:17" outlineLevel="1">
      <c r="B101" s="93"/>
      <c r="C101" s="93"/>
      <c r="D101" s="93"/>
      <c r="E101" s="93"/>
      <c r="F101" s="93"/>
      <c r="G101" s="93"/>
      <c r="H101" s="93"/>
      <c r="I101" s="93"/>
      <c r="J101" s="209"/>
      <c r="K101" s="93"/>
      <c r="L101" s="93"/>
      <c r="M101" s="93"/>
      <c r="N101" s="209"/>
      <c r="O101" s="93"/>
      <c r="P101" s="93"/>
      <c r="Q101" s="93"/>
    </row>
    <row r="103" spans="2:17" ht="15.9">
      <c r="B103" s="170" t="s">
        <v>305</v>
      </c>
    </row>
    <row r="104" spans="2:17">
      <c r="B104" t="s">
        <v>224</v>
      </c>
      <c r="C104" t="s">
        <v>306</v>
      </c>
      <c r="D104" t="s">
        <v>307</v>
      </c>
      <c r="E104" t="s">
        <v>265</v>
      </c>
      <c r="F104" t="s">
        <v>308</v>
      </c>
      <c r="G104" t="s">
        <v>256</v>
      </c>
    </row>
    <row r="105" spans="2:17" outlineLevel="1">
      <c r="B105" t="s">
        <v>372</v>
      </c>
      <c r="C105" t="s">
        <v>107</v>
      </c>
      <c r="D105" s="112">
        <v>100000000</v>
      </c>
      <c r="E105" s="218">
        <v>44658</v>
      </c>
      <c r="F105" t="s">
        <v>237</v>
      </c>
      <c r="G105" t="s">
        <v>237</v>
      </c>
    </row>
    <row r="106" spans="2:17" outlineLevel="1">
      <c r="B106" t="s">
        <v>146</v>
      </c>
      <c r="C106" t="s">
        <v>372</v>
      </c>
      <c r="D106" s="112">
        <v>5000000</v>
      </c>
      <c r="E106" s="218">
        <v>44658</v>
      </c>
      <c r="F106" t="s">
        <v>237</v>
      </c>
      <c r="G106" t="s">
        <v>237</v>
      </c>
    </row>
    <row r="107" spans="2:17" outlineLevel="1">
      <c r="B107" t="s">
        <v>147</v>
      </c>
      <c r="C107" t="s">
        <v>372</v>
      </c>
      <c r="D107" s="112">
        <v>5000000</v>
      </c>
      <c r="E107" s="218">
        <v>44658</v>
      </c>
      <c r="F107" t="s">
        <v>237</v>
      </c>
      <c r="G107" t="s">
        <v>237</v>
      </c>
    </row>
    <row r="108" spans="2:17" outlineLevel="1">
      <c r="B108" t="s">
        <v>148</v>
      </c>
      <c r="C108" t="s">
        <v>372</v>
      </c>
      <c r="D108" s="112">
        <v>5000000</v>
      </c>
      <c r="E108" s="218">
        <v>44658</v>
      </c>
      <c r="F108" t="s">
        <v>237</v>
      </c>
      <c r="G108" t="s">
        <v>237</v>
      </c>
    </row>
    <row r="109" spans="2:17" outlineLevel="1">
      <c r="D109" s="112"/>
    </row>
    <row r="110" spans="2:17" outlineLevel="1">
      <c r="D110" s="112"/>
    </row>
    <row r="112" spans="2:17" ht="15.9">
      <c r="B112" s="170" t="s">
        <v>309</v>
      </c>
    </row>
    <row r="113" spans="2:7">
      <c r="B113" t="s">
        <v>310</v>
      </c>
      <c r="C113" t="s">
        <v>311</v>
      </c>
      <c r="D113" t="s">
        <v>312</v>
      </c>
      <c r="E113" t="s">
        <v>313</v>
      </c>
      <c r="F113" t="s">
        <v>314</v>
      </c>
      <c r="G113" t="s">
        <v>315</v>
      </c>
    </row>
    <row r="114" spans="2:7" ht="14.25" customHeight="1" outlineLevel="1">
      <c r="B114" t="s">
        <v>373</v>
      </c>
      <c r="C114" s="218">
        <v>44651</v>
      </c>
      <c r="D114" s="112">
        <v>100</v>
      </c>
      <c r="G114">
        <f>Table791330[[#This Row],[Purchase Price]]-Table791330[[#This Row],[Sale Price]]</f>
        <v>100</v>
      </c>
    </row>
    <row r="115" spans="2:7" outlineLevel="1">
      <c r="D115" s="112"/>
      <c r="G115">
        <f>Table791330[[#This Row],[Purchase Price]]-Table791330[[#This Row],[Sale Price]]</f>
        <v>0</v>
      </c>
    </row>
    <row r="116" spans="2:7" outlineLevel="1">
      <c r="D116" s="112"/>
      <c r="G116">
        <f>Table791330[[#This Row],[Purchase Price]]-Table791330[[#This Row],[Sale Price]]</f>
        <v>0</v>
      </c>
    </row>
    <row r="117" spans="2:7" outlineLevel="1">
      <c r="D117" s="112"/>
      <c r="G117">
        <f>Table791330[[#This Row],[Purchase Price]]-Table791330[[#This Row],[Sale Price]]</f>
        <v>0</v>
      </c>
    </row>
    <row r="118" spans="2:7" outlineLevel="1">
      <c r="D118" s="112"/>
      <c r="G118">
        <f>Table791330[[#This Row],[Purchase Price]]-Table791330[[#This Row],[Sale Price]]</f>
        <v>0</v>
      </c>
    </row>
    <row r="119" spans="2:7" outlineLevel="1">
      <c r="D119" s="112"/>
      <c r="G119">
        <f>Table791330[[#This Row],[Purchase Price]]-Table791330[[#This Row],[Sale Price]]</f>
        <v>0</v>
      </c>
    </row>
    <row r="120" spans="2:7" outlineLevel="1">
      <c r="D120" s="112"/>
      <c r="G120">
        <f>Table791330[[#This Row],[Purchase Price]]-Table791330[[#This Row],[Sale Price]]</f>
        <v>0</v>
      </c>
    </row>
    <row r="121" spans="2:7" outlineLevel="1">
      <c r="D121" s="112"/>
      <c r="G121">
        <f>Table791330[[#This Row],[Purchase Price]]-Table791330[[#This Row],[Sale Price]]</f>
        <v>0</v>
      </c>
    </row>
    <row r="122" spans="2:7" outlineLevel="1">
      <c r="D122" s="112"/>
      <c r="G122">
        <f>Table791330[[#This Row],[Purchase Price]]-Table791330[[#This Row],[Sale Price]]</f>
        <v>0</v>
      </c>
    </row>
    <row r="123" spans="2:7" outlineLevel="1">
      <c r="G123">
        <f>Table791330[[#This Row],[Purchase Price]]-Table791330[[#This Row],[Sale Price]]</f>
        <v>0</v>
      </c>
    </row>
    <row r="124" spans="2:7" outlineLevel="1">
      <c r="G124">
        <f>Table791330[[#This Row],[Purchase Price]]-Table791330[[#This Row],[Sale Price]]</f>
        <v>0</v>
      </c>
    </row>
    <row r="125" spans="2:7" outlineLevel="1">
      <c r="G125">
        <f>Table791330[[#This Row],[Purchase Price]]-Table791330[[#This Row],[Sale Price]]</f>
        <v>0</v>
      </c>
    </row>
    <row r="126" spans="2:7" outlineLevel="1">
      <c r="G126">
        <f>Table791330[[#This Row],[Purchase Price]]-Table791330[[#This Row],[Sale Price]]</f>
        <v>0</v>
      </c>
    </row>
    <row r="127" spans="2:7" outlineLevel="1">
      <c r="G127">
        <f>Table791330[[#This Row],[Purchase Price]]-Table791330[[#This Row],[Sale Price]]</f>
        <v>0</v>
      </c>
    </row>
    <row r="128" spans="2:7" outlineLevel="1">
      <c r="G128">
        <f>Table791330[[#This Row],[Purchase Price]]-Table791330[[#This Row],[Sale Price]]</f>
        <v>0</v>
      </c>
    </row>
    <row r="129" spans="7:7" outlineLevel="1">
      <c r="G129">
        <f>Table791330[[#This Row],[Purchase Price]]-Table791330[[#This Row],[Sale Price]]</f>
        <v>0</v>
      </c>
    </row>
    <row r="130" spans="7:7" outlineLevel="1">
      <c r="G130">
        <f>Table791330[[#This Row],[Purchase Price]]-Table791330[[#This Row],[Sale Price]]</f>
        <v>0</v>
      </c>
    </row>
    <row r="131" spans="7:7" outlineLevel="1">
      <c r="G131">
        <f>Table791330[[#This Row],[Purchase Price]]-Table791330[[#This Row],[Sale Price]]</f>
        <v>0</v>
      </c>
    </row>
  </sheetData>
  <mergeCells count="3">
    <mergeCell ref="B3:H3"/>
    <mergeCell ref="C6:D6"/>
    <mergeCell ref="C15:D15"/>
  </mergeCells>
  <phoneticPr fontId="13" type="noConversion"/>
  <hyperlinks>
    <hyperlink ref="C24" r:id="rId1" xr:uid="{A9E8A239-CCFB-1849-A36E-9AD3DF11CFE9}"/>
    <hyperlink ref="G52" r:id="rId2" xr:uid="{EE2DDD53-D226-496F-A089-6EA5F3075231}"/>
  </hyperlinks>
  <pageMargins left="0.7" right="0.7" top="0.75" bottom="0.75" header="0.3" footer="0.3"/>
  <tableParts count="4">
    <tablePart r:id="rId3"/>
    <tablePart r:id="rId4"/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E3C3632-2BE8-4B5E-A1E1-52A17E601192}">
          <x14:formula1>
            <xm:f>'Document Type'!$B$49:$B$51</xm:f>
          </x14:formula1>
          <xm:sqref>C10:C11</xm:sqref>
        </x14:dataValidation>
        <x14:dataValidation type="list" allowBlank="1" showInputMessage="1" showErrorMessage="1" xr:uid="{3C9683D1-52D8-4C8B-8B26-6C28133720F0}">
          <x14:formula1>
            <xm:f>'Document Type'!$B$45:$B$47</xm:f>
          </x14:formula1>
          <xm:sqref>C8 G8</xm:sqref>
        </x14:dataValidation>
        <x14:dataValidation type="list" allowBlank="1" showInputMessage="1" showErrorMessage="1" xr:uid="{80D866A9-C45F-49B7-B956-81760DB0D6FA}">
          <x14:formula1>
            <xm:f>'Document Type'!$B$38:$B$39</xm:f>
          </x14:formula1>
          <xm:sqref>F15 G13 C13 G6</xm:sqref>
        </x14:dataValidation>
        <x14:dataValidation type="list" allowBlank="1" showInputMessage="1" showErrorMessage="1" xr:uid="{013F1E3D-E4C3-4BD6-A39E-5B349FDF49A2}">
          <x14:formula1>
            <xm:f>'Document Type'!$B$6:$B$34</xm:f>
          </x14:formula1>
          <xm:sqref>C27:C73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6539B-52A5-4F2A-B274-D3BCB7C15BFB}">
  <dimension ref="A1:P120"/>
  <sheetViews>
    <sheetView topLeftCell="A16" workbookViewId="0">
      <selection activeCell="D4" sqref="D4"/>
    </sheetView>
  </sheetViews>
  <sheetFormatPr defaultColWidth="8.69140625" defaultRowHeight="14.6" outlineLevelRow="1"/>
  <cols>
    <col min="1" max="1" width="38.3046875" bestFit="1" customWidth="1"/>
    <col min="2" max="2" width="42.69140625" bestFit="1" customWidth="1"/>
    <col min="3" max="3" width="29.15234375" customWidth="1"/>
    <col min="4" max="4" width="20.69140625" bestFit="1" customWidth="1"/>
    <col min="5" max="5" width="28.15234375" bestFit="1" customWidth="1"/>
    <col min="6" max="6" width="46.69140625" bestFit="1" customWidth="1"/>
    <col min="7" max="7" width="36.4609375" bestFit="1" customWidth="1"/>
    <col min="8" max="8" width="19.3046875" bestFit="1" customWidth="1"/>
    <col min="9" max="9" width="24" bestFit="1" customWidth="1"/>
    <col min="10" max="10" width="25.3046875" customWidth="1"/>
    <col min="11" max="11" width="16.69140625" bestFit="1" customWidth="1"/>
    <col min="12" max="12" width="27.3046875" bestFit="1" customWidth="1"/>
    <col min="13" max="13" width="31.69140625" bestFit="1" customWidth="1"/>
    <col min="14" max="14" width="30.15234375" bestFit="1" customWidth="1"/>
    <col min="15" max="15" width="21.4609375" bestFit="1" customWidth="1"/>
    <col min="16" max="16" width="23.3046875" bestFit="1" customWidth="1"/>
  </cols>
  <sheetData>
    <row r="1" spans="1:11">
      <c r="A1" s="69" t="s">
        <v>195</v>
      </c>
    </row>
    <row r="2" spans="1:11" ht="15" thickBot="1">
      <c r="I2" t="s">
        <v>196</v>
      </c>
      <c r="J2" t="s">
        <v>197</v>
      </c>
      <c r="K2">
        <v>2024</v>
      </c>
    </row>
    <row r="3" spans="1:11" ht="26.8" customHeight="1" thickBot="1">
      <c r="A3" s="373" t="s">
        <v>374</v>
      </c>
      <c r="B3" s="374"/>
      <c r="C3" s="374"/>
      <c r="D3" s="374"/>
      <c r="E3" s="374"/>
      <c r="F3" s="374"/>
      <c r="G3" s="375"/>
      <c r="I3" t="s">
        <v>199</v>
      </c>
      <c r="J3" t="s">
        <v>200</v>
      </c>
    </row>
    <row r="4" spans="1:11" ht="17.8" customHeight="1">
      <c r="A4" s="245" t="s">
        <v>201</v>
      </c>
      <c r="B4" s="287" t="s">
        <v>130</v>
      </c>
      <c r="C4" s="273" t="s">
        <v>202</v>
      </c>
      <c r="D4" s="287" t="s">
        <v>131</v>
      </c>
      <c r="E4" s="93"/>
      <c r="F4" s="273" t="s">
        <v>203</v>
      </c>
      <c r="G4" s="93" t="s">
        <v>132</v>
      </c>
      <c r="I4" t="s">
        <v>204</v>
      </c>
      <c r="J4" t="s">
        <v>205</v>
      </c>
    </row>
    <row r="5" spans="1:11">
      <c r="A5" s="250" t="s">
        <v>206</v>
      </c>
      <c r="B5" s="254">
        <v>44657</v>
      </c>
      <c r="C5" s="254"/>
      <c r="D5" s="256"/>
      <c r="E5" s="274" t="s">
        <v>207</v>
      </c>
      <c r="F5" s="255">
        <v>100</v>
      </c>
      <c r="G5" s="258"/>
      <c r="I5" t="s">
        <v>208</v>
      </c>
      <c r="J5" t="s">
        <v>209</v>
      </c>
    </row>
    <row r="6" spans="1:11">
      <c r="A6" s="251" t="s">
        <v>210</v>
      </c>
      <c r="B6" s="376" t="s">
        <v>375</v>
      </c>
      <c r="C6" s="376"/>
      <c r="D6" s="232"/>
      <c r="E6" s="275" t="s">
        <v>211</v>
      </c>
      <c r="F6" s="232" t="s">
        <v>237</v>
      </c>
      <c r="G6" s="276"/>
      <c r="I6" t="s">
        <v>213</v>
      </c>
      <c r="J6" t="s">
        <v>214</v>
      </c>
    </row>
    <row r="7" spans="1:11">
      <c r="A7" s="250" t="s">
        <v>215</v>
      </c>
      <c r="B7" s="256" t="s">
        <v>134</v>
      </c>
      <c r="C7" s="256"/>
      <c r="D7" s="254"/>
      <c r="E7" s="256"/>
      <c r="F7" s="256"/>
      <c r="G7" s="257"/>
      <c r="I7" t="s">
        <v>216</v>
      </c>
      <c r="J7" t="s">
        <v>217</v>
      </c>
    </row>
    <row r="8" spans="1:11">
      <c r="A8" s="249" t="s">
        <v>218</v>
      </c>
      <c r="B8" s="350" t="s">
        <v>219</v>
      </c>
      <c r="C8" s="232"/>
      <c r="D8" s="252"/>
      <c r="E8" s="275" t="s">
        <v>220</v>
      </c>
      <c r="F8" s="232" t="s">
        <v>221</v>
      </c>
      <c r="G8" s="276"/>
      <c r="I8" t="s">
        <v>222</v>
      </c>
      <c r="J8" t="s">
        <v>223</v>
      </c>
    </row>
    <row r="9" spans="1:11">
      <c r="A9" s="259"/>
      <c r="B9" s="256"/>
      <c r="C9" s="256" t="s">
        <v>224</v>
      </c>
      <c r="D9" s="254"/>
      <c r="E9" s="256"/>
      <c r="F9" s="256"/>
      <c r="G9" s="257"/>
      <c r="I9" t="s">
        <v>225</v>
      </c>
      <c r="J9" t="s">
        <v>226</v>
      </c>
    </row>
    <row r="10" spans="1:11">
      <c r="A10" s="249" t="s">
        <v>227</v>
      </c>
      <c r="B10" s="277" t="s">
        <v>228</v>
      </c>
      <c r="C10" s="252">
        <v>44657</v>
      </c>
      <c r="D10" s="232"/>
      <c r="E10" s="232"/>
      <c r="F10" s="232"/>
      <c r="G10" s="276"/>
      <c r="I10" t="s">
        <v>229</v>
      </c>
      <c r="J10" t="s">
        <v>230</v>
      </c>
    </row>
    <row r="11" spans="1:11">
      <c r="A11" s="250" t="s">
        <v>231</v>
      </c>
      <c r="B11" s="290" t="s">
        <v>228</v>
      </c>
      <c r="C11" s="254">
        <v>44657</v>
      </c>
      <c r="D11" s="256"/>
      <c r="E11" s="256"/>
      <c r="F11" s="255"/>
      <c r="G11" s="258"/>
      <c r="I11" t="s">
        <v>232</v>
      </c>
      <c r="J11" t="s">
        <v>233</v>
      </c>
    </row>
    <row r="12" spans="1:11">
      <c r="A12" s="240"/>
      <c r="B12" s="232"/>
      <c r="C12" s="232"/>
      <c r="D12" s="252"/>
      <c r="E12" s="232"/>
      <c r="F12" s="232"/>
      <c r="G12" s="276"/>
      <c r="I12" t="s">
        <v>234</v>
      </c>
      <c r="J12" t="s">
        <v>235</v>
      </c>
    </row>
    <row r="13" spans="1:11">
      <c r="A13" s="250" t="s">
        <v>236</v>
      </c>
      <c r="B13" s="256" t="s">
        <v>212</v>
      </c>
      <c r="C13" s="256"/>
      <c r="D13" s="256"/>
      <c r="E13" s="274" t="s">
        <v>238</v>
      </c>
      <c r="F13" s="256" t="s">
        <v>212</v>
      </c>
      <c r="G13" s="256"/>
      <c r="I13" t="s">
        <v>239</v>
      </c>
    </row>
    <row r="14" spans="1:11">
      <c r="A14" s="242"/>
      <c r="B14" s="233"/>
      <c r="C14" s="233"/>
      <c r="D14" s="275" t="s">
        <v>240</v>
      </c>
      <c r="E14" s="275" t="s">
        <v>241</v>
      </c>
      <c r="F14" s="232"/>
      <c r="G14" s="232"/>
      <c r="I14" t="s">
        <v>242</v>
      </c>
    </row>
    <row r="15" spans="1:11">
      <c r="A15" s="250" t="s">
        <v>243</v>
      </c>
      <c r="B15" s="378" t="s">
        <v>65</v>
      </c>
      <c r="C15" s="378"/>
      <c r="D15" s="256">
        <v>100</v>
      </c>
      <c r="E15" s="256" t="s">
        <v>237</v>
      </c>
      <c r="F15" s="256"/>
      <c r="G15" s="256"/>
      <c r="I15" t="s">
        <v>245</v>
      </c>
    </row>
    <row r="16" spans="1:11">
      <c r="A16" s="242"/>
      <c r="B16" s="233"/>
      <c r="C16" s="233"/>
      <c r="D16" s="232"/>
      <c r="E16" s="232"/>
      <c r="F16" s="232"/>
      <c r="G16" s="232"/>
      <c r="I16" t="s">
        <v>246</v>
      </c>
    </row>
    <row r="17" spans="1:9">
      <c r="A17" s="250" t="s">
        <v>247</v>
      </c>
      <c r="B17" s="274" t="s">
        <v>248</v>
      </c>
      <c r="C17" s="274" t="s">
        <v>82</v>
      </c>
      <c r="D17" s="300" t="s">
        <v>83</v>
      </c>
      <c r="E17" s="274" t="s">
        <v>249</v>
      </c>
      <c r="F17" s="255"/>
      <c r="G17" s="255"/>
      <c r="I17" t="s">
        <v>250</v>
      </c>
    </row>
    <row r="18" spans="1:9">
      <c r="A18" s="240"/>
      <c r="B18" s="232" t="s">
        <v>251</v>
      </c>
      <c r="C18" s="232"/>
      <c r="D18" s="252"/>
      <c r="E18" s="232"/>
      <c r="F18" s="232"/>
      <c r="G18" s="232"/>
      <c r="I18" t="s">
        <v>253</v>
      </c>
    </row>
    <row r="19" spans="1:9">
      <c r="A19" s="259"/>
      <c r="B19" s="256" t="s">
        <v>317</v>
      </c>
      <c r="C19" s="254" t="s">
        <v>341</v>
      </c>
      <c r="D19" s="256">
        <v>699669</v>
      </c>
      <c r="E19" s="254">
        <v>45282</v>
      </c>
      <c r="F19" s="256"/>
      <c r="G19" s="256"/>
      <c r="I19" t="s">
        <v>256</v>
      </c>
    </row>
    <row r="20" spans="1:9">
      <c r="A20" s="240"/>
      <c r="B20" s="232"/>
      <c r="C20" s="232"/>
      <c r="D20" s="252"/>
      <c r="E20" s="232"/>
      <c r="F20" s="232"/>
      <c r="G20" s="232"/>
      <c r="I20" t="s">
        <v>257</v>
      </c>
    </row>
    <row r="21" spans="1:9">
      <c r="A21" s="259"/>
      <c r="B21" s="256"/>
      <c r="C21" s="256"/>
      <c r="D21" s="254"/>
      <c r="E21" s="256"/>
      <c r="F21" s="256"/>
      <c r="G21" s="256"/>
      <c r="I21" t="s">
        <v>258</v>
      </c>
    </row>
    <row r="22" spans="1:9">
      <c r="A22" s="240"/>
      <c r="B22" s="232"/>
      <c r="C22" s="232"/>
      <c r="D22" s="252"/>
      <c r="E22" s="232"/>
      <c r="F22" s="232"/>
      <c r="G22" s="232"/>
    </row>
    <row r="24" spans="1:9">
      <c r="A24" t="s">
        <v>259</v>
      </c>
      <c r="B24" s="69" t="s">
        <v>376</v>
      </c>
      <c r="C24" t="s">
        <v>260</v>
      </c>
      <c r="D24" t="s">
        <v>376</v>
      </c>
    </row>
    <row r="26" spans="1:9" ht="15.9">
      <c r="A26" s="170" t="s">
        <v>262</v>
      </c>
      <c r="B26" s="170" t="s">
        <v>263</v>
      </c>
      <c r="C26" s="170" t="s">
        <v>264</v>
      </c>
      <c r="D26" s="170" t="s">
        <v>265</v>
      </c>
      <c r="E26" s="170" t="s">
        <v>266</v>
      </c>
      <c r="F26" s="170" t="s">
        <v>267</v>
      </c>
      <c r="G26" s="170" t="s">
        <v>268</v>
      </c>
      <c r="I26" s="170" t="s">
        <v>269</v>
      </c>
    </row>
    <row r="27" spans="1:9" outlineLevel="1">
      <c r="A27" s="14" t="s">
        <v>272</v>
      </c>
      <c r="B27" t="s">
        <v>234</v>
      </c>
      <c r="C27" t="str">
        <f>VLOOKUP(B27,'Document Type'!$B$6:$C$34,2,FALSE)</f>
        <v>General</v>
      </c>
      <c r="D27" s="218">
        <v>45471</v>
      </c>
      <c r="F27" t="s">
        <v>377</v>
      </c>
    </row>
    <row r="28" spans="1:9" outlineLevel="1">
      <c r="A28" t="s">
        <v>270</v>
      </c>
      <c r="B28" t="s">
        <v>253</v>
      </c>
      <c r="C28" t="str">
        <f>VLOOKUP(B28,'Document Type'!$B$6:$C$34,2,FALSE)</f>
        <v>General</v>
      </c>
      <c r="D28" s="218">
        <v>45471</v>
      </c>
      <c r="F28" t="s">
        <v>378</v>
      </c>
    </row>
    <row r="29" spans="1:9" outlineLevel="1">
      <c r="A29" t="s">
        <v>278</v>
      </c>
      <c r="B29" t="s">
        <v>204</v>
      </c>
      <c r="C29" t="str">
        <f>VLOOKUP(B29,'Document Type'!$B$6:$C$34,2,FALSE)</f>
        <v>Company Setup</v>
      </c>
      <c r="D29" s="218">
        <v>44657</v>
      </c>
      <c r="F29" t="s">
        <v>379</v>
      </c>
    </row>
    <row r="30" spans="1:9" outlineLevel="1">
      <c r="A30" t="s">
        <v>280</v>
      </c>
      <c r="B30" t="s">
        <v>213</v>
      </c>
      <c r="C30" t="str">
        <f>VLOOKUP(B30,'Document Type'!$B$6:$C$34,2,FALSE)</f>
        <v>Constitution</v>
      </c>
      <c r="D30" s="218">
        <v>44657</v>
      </c>
      <c r="F30" s="69" t="s">
        <v>380</v>
      </c>
    </row>
    <row r="31" spans="1:9" outlineLevel="1">
      <c r="A31" t="s">
        <v>2</v>
      </c>
      <c r="B31" t="s">
        <v>2</v>
      </c>
      <c r="C31" t="str">
        <f>VLOOKUP(B31,'Document Type'!$B$6:$C$34,2,FALSE)</f>
        <v>General</v>
      </c>
      <c r="D31" s="218">
        <v>45100</v>
      </c>
      <c r="F31" t="s">
        <v>381</v>
      </c>
    </row>
    <row r="32" spans="1:9" outlineLevel="1">
      <c r="A32" t="s">
        <v>325</v>
      </c>
      <c r="B32" t="s">
        <v>234</v>
      </c>
      <c r="C32" t="str">
        <f>VLOOKUP(B32,'Document Type'!$B$6:$C$34,2,FALSE)</f>
        <v>General</v>
      </c>
      <c r="D32" s="218">
        <v>45107</v>
      </c>
      <c r="F32" t="s">
        <v>382</v>
      </c>
    </row>
    <row r="33" spans="1:6" outlineLevel="1">
      <c r="A33" t="s">
        <v>323</v>
      </c>
      <c r="B33" t="s">
        <v>253</v>
      </c>
      <c r="C33" t="str">
        <f>VLOOKUP(B33,'Document Type'!$B$6:$C$34,2,FALSE)</f>
        <v>General</v>
      </c>
      <c r="D33" s="218">
        <v>45107</v>
      </c>
      <c r="F33" t="s">
        <v>383</v>
      </c>
    </row>
    <row r="34" spans="1:6" outlineLevel="1">
      <c r="A34" t="s">
        <v>239</v>
      </c>
      <c r="B34" t="s">
        <v>287</v>
      </c>
      <c r="C34" t="str">
        <f>VLOOKUP(B34,'Document Type'!$B$6:$C$34,2,FALSE)</f>
        <v>General</v>
      </c>
      <c r="D34" s="218">
        <v>44698</v>
      </c>
      <c r="F34" t="s">
        <v>384</v>
      </c>
    </row>
    <row r="35" spans="1:6" outlineLevel="1">
      <c r="A35" t="s">
        <v>385</v>
      </c>
      <c r="B35" t="s">
        <v>246</v>
      </c>
      <c r="C35" t="str">
        <f>VLOOKUP(B36,'Document Type'!$B$6:$C$34,2,FALSE)</f>
        <v>Register of Members</v>
      </c>
      <c r="D35" s="218">
        <v>44657</v>
      </c>
      <c r="F35" t="s">
        <v>386</v>
      </c>
    </row>
    <row r="36" spans="1:6" outlineLevel="1">
      <c r="A36" t="s">
        <v>387</v>
      </c>
      <c r="B36" t="s">
        <v>216</v>
      </c>
      <c r="C36" t="s">
        <v>289</v>
      </c>
      <c r="D36" s="218">
        <v>44657</v>
      </c>
      <c r="F36" t="s">
        <v>388</v>
      </c>
    </row>
    <row r="37" spans="1:6" outlineLevel="1">
      <c r="A37" t="s">
        <v>389</v>
      </c>
      <c r="B37" t="s">
        <v>216</v>
      </c>
      <c r="C37" t="str">
        <f>VLOOKUP(B37,'Document Type'!$B$6:$C$34,2,FALSE)</f>
        <v>Register of Members</v>
      </c>
      <c r="D37" s="218">
        <v>44657</v>
      </c>
      <c r="F37" t="s">
        <v>390</v>
      </c>
    </row>
    <row r="38" spans="1:6" outlineLevel="1">
      <c r="A38" t="s">
        <v>391</v>
      </c>
      <c r="B38" t="s">
        <v>216</v>
      </c>
      <c r="C38" t="str">
        <f>VLOOKUP(B38,'Document Type'!$B$6:$C$34,2,FALSE)</f>
        <v>Register of Members</v>
      </c>
      <c r="D38" s="218">
        <v>44714</v>
      </c>
      <c r="F38" t="s">
        <v>392</v>
      </c>
    </row>
    <row r="39" spans="1:6" outlineLevel="1">
      <c r="A39" t="s">
        <v>393</v>
      </c>
      <c r="B39" t="s">
        <v>216</v>
      </c>
      <c r="C39" t="str">
        <f>VLOOKUP(B39,'Document Type'!$B$6:$C$34,2,FALSE)</f>
        <v>Register of Members</v>
      </c>
      <c r="D39" s="218">
        <v>44714</v>
      </c>
      <c r="F39" t="s">
        <v>394</v>
      </c>
    </row>
    <row r="40" spans="1:6" outlineLevel="1">
      <c r="A40" t="s">
        <v>395</v>
      </c>
      <c r="B40" t="s">
        <v>216</v>
      </c>
      <c r="C40" t="str">
        <f>VLOOKUP(B40,'Document Type'!$B$6:$C$34,2,FALSE)</f>
        <v>Register of Members</v>
      </c>
      <c r="D40" s="218">
        <v>44714</v>
      </c>
      <c r="F40" t="s">
        <v>396</v>
      </c>
    </row>
    <row r="41" spans="1:6" outlineLevel="1">
      <c r="A41" t="s">
        <v>397</v>
      </c>
      <c r="B41" t="s">
        <v>216</v>
      </c>
      <c r="C41" t="str">
        <f>VLOOKUP(B41,'Document Type'!$B$6:$C$34,2,FALSE)</f>
        <v>Register of Members</v>
      </c>
      <c r="D41" s="218">
        <v>44714</v>
      </c>
      <c r="F41" t="s">
        <v>398</v>
      </c>
    </row>
    <row r="42" spans="1:6" outlineLevel="1">
      <c r="A42" t="s">
        <v>289</v>
      </c>
      <c r="B42" t="s">
        <v>216</v>
      </c>
      <c r="C42" t="str">
        <f>VLOOKUP(B42,'Document Type'!$B$6:$C$34,2,FALSE)</f>
        <v>Register of Members</v>
      </c>
      <c r="D42" s="218">
        <v>44657</v>
      </c>
      <c r="F42" t="s">
        <v>399</v>
      </c>
    </row>
    <row r="43" spans="1:6" outlineLevel="1">
      <c r="A43" t="s">
        <v>327</v>
      </c>
      <c r="B43" t="s">
        <v>216</v>
      </c>
      <c r="C43" t="str">
        <f>VLOOKUP(B43,'Document Type'!$B$6:$C$34,2,FALSE)</f>
        <v>Register of Members</v>
      </c>
      <c r="D43" s="218">
        <v>44698</v>
      </c>
      <c r="F43" t="s">
        <v>400</v>
      </c>
    </row>
    <row r="44" spans="1:6" outlineLevel="1">
      <c r="A44" t="s">
        <v>327</v>
      </c>
      <c r="B44" t="s">
        <v>216</v>
      </c>
      <c r="C44" t="str">
        <f>VLOOKUP(B44,'Document Type'!$B$6:$C$34,2,FALSE)</f>
        <v>Register of Members</v>
      </c>
      <c r="D44" s="218">
        <v>44698</v>
      </c>
      <c r="F44" t="s">
        <v>401</v>
      </c>
    </row>
    <row r="45" spans="1:6" outlineLevel="1">
      <c r="C45" t="e">
        <f>VLOOKUP(B45,'Document Type'!$B$6:$C$34,2,FALSE)</f>
        <v>#N/A</v>
      </c>
    </row>
    <row r="46" spans="1:6" outlineLevel="1">
      <c r="C46" t="e">
        <f>VLOOKUP(B46,'Document Type'!$B$6:$C$34,2,FALSE)</f>
        <v>#N/A</v>
      </c>
    </row>
    <row r="47" spans="1:6" outlineLevel="1">
      <c r="C47" t="e">
        <f>VLOOKUP(B47,'Document Type'!$B$6:$C$34,2,FALSE)</f>
        <v>#N/A</v>
      </c>
    </row>
    <row r="48" spans="1:6" outlineLevel="1">
      <c r="C48" t="e">
        <f>VLOOKUP(B48,'Document Type'!$B$6:$C$34,2,FALSE)</f>
        <v>#N/A</v>
      </c>
    </row>
    <row r="49" spans="1:16" outlineLevel="1">
      <c r="C49" t="e">
        <f>VLOOKUP(B49,'Document Type'!$B$6:$C$34,2,FALSE)</f>
        <v>#N/A</v>
      </c>
    </row>
    <row r="50" spans="1:16" outlineLevel="1">
      <c r="C50" t="e">
        <f>VLOOKUP(B50,'Document Type'!$B$6:$C$34,2,FALSE)</f>
        <v>#N/A</v>
      </c>
    </row>
    <row r="51" spans="1:16" outlineLevel="1">
      <c r="C51" t="e">
        <f>VLOOKUP(B51,'Document Type'!$B$6:$C$34,2,FALSE)</f>
        <v>#N/A</v>
      </c>
    </row>
    <row r="52" spans="1:16" outlineLevel="1">
      <c r="C52" t="e">
        <f>VLOOKUP(B52,'Document Type'!$B$6:$C$34,2,FALSE)</f>
        <v>#N/A</v>
      </c>
    </row>
    <row r="53" spans="1:16" outlineLevel="1">
      <c r="C53" t="e">
        <f>VLOOKUP(B53,'Document Type'!$B$6:$C$34,2,FALSE)</f>
        <v>#N/A</v>
      </c>
    </row>
    <row r="54" spans="1:16" outlineLevel="1">
      <c r="C54" t="e">
        <f>VLOOKUP(B54,'Document Type'!$B$6:$C$34,2,FALSE)</f>
        <v>#N/A</v>
      </c>
    </row>
    <row r="55" spans="1:16" outlineLevel="1">
      <c r="C55" t="e">
        <f>VLOOKUP(B55,'Document Type'!$B$6:$C$34,2,FALSE)</f>
        <v>#N/A</v>
      </c>
    </row>
    <row r="56" spans="1:16" outlineLevel="1">
      <c r="C56" t="e">
        <f>VLOOKUP(B56,'Document Type'!$B$6:$C$34,2,FALSE)</f>
        <v>#N/A</v>
      </c>
    </row>
    <row r="57" spans="1:16" outlineLevel="1">
      <c r="C57" t="e">
        <f>VLOOKUP(B57,'Document Type'!$B$6:$C$34,2,FALSE)</f>
        <v>#N/A</v>
      </c>
    </row>
    <row r="58" spans="1:16" outlineLevel="1">
      <c r="C58" t="e">
        <f>VLOOKUP(B58,'Document Type'!$B$6:$C$34,2,FALSE)</f>
        <v>#N/A</v>
      </c>
    </row>
    <row r="59" spans="1:16" outlineLevel="1">
      <c r="C59" t="e">
        <f>VLOOKUP(B59,'Document Type'!$B$6:$C$34,2,FALSE)</f>
        <v>#N/A</v>
      </c>
    </row>
    <row r="60" spans="1:16" outlineLevel="1">
      <c r="C60" t="e">
        <f>VLOOKUP(B60,'Document Type'!$B$6:$C$34,2,FALSE)</f>
        <v>#N/A</v>
      </c>
    </row>
    <row r="62" spans="1:16" ht="15.9">
      <c r="A62" s="170" t="s">
        <v>289</v>
      </c>
    </row>
    <row r="63" spans="1:16" s="199" customFormat="1">
      <c r="A63" s="350" t="s">
        <v>265</v>
      </c>
      <c r="B63" s="350" t="s">
        <v>290</v>
      </c>
      <c r="C63" s="350" t="s">
        <v>291</v>
      </c>
      <c r="D63" s="351" t="s">
        <v>292</v>
      </c>
      <c r="E63" s="350" t="s">
        <v>293</v>
      </c>
      <c r="F63" s="350" t="s">
        <v>294</v>
      </c>
      <c r="G63" s="352" t="s">
        <v>295</v>
      </c>
      <c r="H63" s="353" t="s">
        <v>296</v>
      </c>
      <c r="I63" s="354" t="s">
        <v>297</v>
      </c>
      <c r="J63" s="199" t="s">
        <v>298</v>
      </c>
      <c r="K63" s="199" t="s">
        <v>299</v>
      </c>
      <c r="L63" s="199" t="s">
        <v>300</v>
      </c>
      <c r="M63" s="354" t="s">
        <v>301</v>
      </c>
      <c r="N63" s="199" t="s">
        <v>302</v>
      </c>
      <c r="O63" s="199" t="s">
        <v>303</v>
      </c>
      <c r="P63" s="199" t="s">
        <v>304</v>
      </c>
    </row>
    <row r="64" spans="1:16" outlineLevel="1">
      <c r="A64" s="140">
        <v>44698</v>
      </c>
      <c r="B64" s="93"/>
      <c r="C64" s="93" t="s">
        <v>402</v>
      </c>
      <c r="D64" s="93"/>
      <c r="E64" s="93"/>
      <c r="F64" s="93"/>
      <c r="G64" s="93">
        <v>100</v>
      </c>
      <c r="H64" s="93"/>
      <c r="I64" s="209">
        <v>1</v>
      </c>
      <c r="J64" s="93"/>
      <c r="K64" s="93" t="s">
        <v>403</v>
      </c>
      <c r="L64" s="93">
        <v>100</v>
      </c>
      <c r="M64" s="209">
        <v>100</v>
      </c>
      <c r="N64" s="93" t="s">
        <v>403</v>
      </c>
      <c r="O64" s="93"/>
      <c r="P64" s="93"/>
    </row>
    <row r="65" spans="1:16" outlineLevel="1">
      <c r="A65" s="140"/>
      <c r="B65" s="93"/>
      <c r="C65" s="93"/>
      <c r="D65" s="93"/>
      <c r="E65" s="93"/>
      <c r="F65" s="93"/>
      <c r="G65" s="93"/>
      <c r="H65" s="93"/>
      <c r="I65" s="209"/>
      <c r="J65" s="93"/>
      <c r="K65" s="93"/>
      <c r="L65" s="93"/>
      <c r="M65" s="209"/>
      <c r="N65" s="93"/>
      <c r="O65" s="93"/>
      <c r="P65" s="93"/>
    </row>
    <row r="66" spans="1:16" outlineLevel="1">
      <c r="A66" s="140"/>
      <c r="B66" s="93"/>
      <c r="C66" s="93"/>
      <c r="D66" s="93"/>
      <c r="E66" s="93"/>
      <c r="F66" s="93"/>
      <c r="G66" s="93"/>
      <c r="H66" s="93"/>
      <c r="I66" s="209"/>
      <c r="J66" s="93"/>
      <c r="K66" s="93"/>
      <c r="L66" s="93"/>
      <c r="M66" s="209"/>
      <c r="N66" s="93"/>
      <c r="O66" s="93"/>
      <c r="P66" s="93"/>
    </row>
    <row r="67" spans="1:16" outlineLevel="1">
      <c r="A67" s="140"/>
      <c r="B67" s="93"/>
      <c r="C67" s="93"/>
      <c r="D67" s="93"/>
      <c r="E67" s="93"/>
      <c r="F67" s="93"/>
      <c r="G67" s="93"/>
      <c r="H67" s="93"/>
      <c r="I67" s="209"/>
      <c r="J67" s="93"/>
      <c r="K67" s="93"/>
      <c r="L67" s="93"/>
      <c r="M67" s="209"/>
      <c r="N67" s="93"/>
      <c r="O67" s="93"/>
      <c r="P67" s="93"/>
    </row>
    <row r="68" spans="1:16" outlineLevel="1">
      <c r="A68" s="140"/>
      <c r="B68" s="93"/>
      <c r="C68" s="93"/>
      <c r="D68" s="93"/>
      <c r="E68" s="93"/>
      <c r="F68" s="93"/>
      <c r="G68" s="93"/>
      <c r="H68" s="93"/>
      <c r="I68" s="209"/>
      <c r="J68" s="93"/>
      <c r="K68" s="93"/>
      <c r="L68" s="93"/>
      <c r="M68" s="209"/>
      <c r="N68" s="93"/>
      <c r="O68" s="93"/>
      <c r="P68" s="93"/>
    </row>
    <row r="69" spans="1:16" outlineLevel="1">
      <c r="A69" s="140"/>
      <c r="B69" s="93"/>
      <c r="C69" s="93"/>
      <c r="D69" s="93"/>
      <c r="E69" s="93"/>
      <c r="F69" s="93"/>
      <c r="G69" s="93"/>
      <c r="H69" s="93"/>
      <c r="I69" s="209"/>
      <c r="J69" s="93"/>
      <c r="K69" s="93"/>
      <c r="L69" s="93"/>
      <c r="M69" s="209"/>
      <c r="N69" s="93"/>
      <c r="O69" s="93"/>
      <c r="P69" s="93"/>
    </row>
    <row r="70" spans="1:16" outlineLevel="1">
      <c r="A70" s="140"/>
      <c r="B70" s="93"/>
      <c r="C70" s="93"/>
      <c r="D70" s="93"/>
      <c r="E70" s="93"/>
      <c r="F70" s="93"/>
      <c r="G70" s="93"/>
      <c r="H70" s="93"/>
      <c r="I70" s="209"/>
      <c r="J70" s="93"/>
      <c r="K70" s="93"/>
      <c r="L70" s="93"/>
      <c r="M70" s="209"/>
      <c r="N70" s="93"/>
      <c r="O70" s="93"/>
      <c r="P70" s="93"/>
    </row>
    <row r="71" spans="1:16" outlineLevel="1">
      <c r="A71" s="140"/>
      <c r="B71" s="93"/>
      <c r="C71" s="93"/>
      <c r="D71" s="93"/>
      <c r="E71" s="93"/>
      <c r="F71" s="93"/>
      <c r="G71" s="93"/>
      <c r="H71" s="93"/>
      <c r="I71" s="209"/>
      <c r="J71" s="93"/>
      <c r="K71" s="93"/>
      <c r="L71" s="93"/>
      <c r="M71" s="209"/>
      <c r="N71" s="93"/>
      <c r="O71" s="93"/>
      <c r="P71" s="93"/>
    </row>
    <row r="72" spans="1:16" outlineLevel="1">
      <c r="A72" s="140"/>
      <c r="B72" s="93"/>
      <c r="C72" s="93"/>
      <c r="D72" s="93"/>
      <c r="E72" s="93"/>
      <c r="F72" s="93"/>
      <c r="G72" s="93"/>
      <c r="H72" s="93"/>
      <c r="I72" s="209"/>
      <c r="J72" s="93"/>
      <c r="K72" s="93"/>
      <c r="L72" s="93"/>
      <c r="M72" s="209"/>
      <c r="N72" s="93"/>
      <c r="O72" s="93"/>
      <c r="P72" s="93"/>
    </row>
    <row r="73" spans="1:16" outlineLevel="1">
      <c r="A73" s="140"/>
      <c r="B73" s="93"/>
      <c r="C73" s="93"/>
      <c r="D73" s="93"/>
      <c r="E73" s="93"/>
      <c r="F73" s="93"/>
      <c r="G73" s="93"/>
      <c r="H73" s="93"/>
      <c r="I73" s="209"/>
      <c r="J73" s="93"/>
      <c r="K73" s="93"/>
      <c r="L73" s="93"/>
      <c r="M73" s="209"/>
      <c r="N73" s="93"/>
      <c r="O73" s="93"/>
      <c r="P73" s="93"/>
    </row>
    <row r="74" spans="1:16" outlineLevel="1">
      <c r="A74" s="140"/>
      <c r="B74" s="93"/>
      <c r="C74" s="93"/>
      <c r="D74" s="93"/>
      <c r="E74" s="93"/>
      <c r="F74" s="93"/>
      <c r="G74" s="93"/>
      <c r="H74" s="93"/>
      <c r="I74" s="209"/>
      <c r="J74" s="93"/>
      <c r="K74" s="93"/>
      <c r="L74" s="93"/>
      <c r="M74" s="209"/>
      <c r="N74" s="93"/>
      <c r="O74" s="93"/>
      <c r="P74" s="93"/>
    </row>
    <row r="75" spans="1:16" outlineLevel="1">
      <c r="A75" s="140"/>
      <c r="B75" s="93"/>
      <c r="C75" s="93"/>
      <c r="D75" s="93"/>
      <c r="E75" s="93"/>
      <c r="F75" s="93"/>
      <c r="G75" s="93"/>
      <c r="H75" s="93"/>
      <c r="I75" s="209"/>
      <c r="J75" s="93"/>
      <c r="K75" s="93"/>
      <c r="L75" s="93"/>
      <c r="M75" s="209"/>
      <c r="N75" s="93"/>
      <c r="O75" s="93"/>
      <c r="P75" s="93"/>
    </row>
    <row r="76" spans="1:16" outlineLevel="1">
      <c r="A76" s="140"/>
      <c r="B76" s="93"/>
      <c r="C76" s="93"/>
      <c r="D76" s="93"/>
      <c r="E76" s="93"/>
      <c r="F76" s="93"/>
      <c r="G76" s="93"/>
      <c r="H76" s="93"/>
      <c r="I76" s="209"/>
      <c r="J76" s="93"/>
      <c r="K76" s="93"/>
      <c r="L76" s="93"/>
      <c r="M76" s="209"/>
      <c r="N76" s="93"/>
      <c r="O76" s="93"/>
      <c r="P76" s="93"/>
    </row>
    <row r="77" spans="1:16" outlineLevel="1">
      <c r="A77" s="140"/>
      <c r="B77" s="93"/>
      <c r="C77" s="93"/>
      <c r="D77" s="93"/>
      <c r="E77" s="93"/>
      <c r="F77" s="93"/>
      <c r="G77" s="93"/>
      <c r="H77" s="93"/>
      <c r="I77" s="209"/>
      <c r="J77" s="93"/>
      <c r="K77" s="93"/>
      <c r="L77" s="93"/>
      <c r="M77" s="209"/>
      <c r="N77" s="93"/>
      <c r="O77" s="93"/>
      <c r="P77" s="93"/>
    </row>
    <row r="78" spans="1:16" outlineLevel="1">
      <c r="A78" s="140"/>
      <c r="B78" s="93"/>
      <c r="C78" s="93"/>
      <c r="D78" s="93"/>
      <c r="E78" s="93"/>
      <c r="F78" s="93"/>
      <c r="G78" s="93"/>
      <c r="H78" s="93"/>
      <c r="I78" s="209"/>
      <c r="J78" s="93"/>
      <c r="K78" s="93"/>
      <c r="L78" s="93"/>
      <c r="M78" s="209"/>
      <c r="N78" s="93"/>
      <c r="O78" s="93"/>
      <c r="P78" s="93"/>
    </row>
    <row r="79" spans="1:16" outlineLevel="1">
      <c r="A79" s="140"/>
      <c r="B79" s="93"/>
      <c r="C79" s="93"/>
      <c r="D79" s="93"/>
      <c r="E79" s="93"/>
      <c r="F79" s="93"/>
      <c r="G79" s="93"/>
      <c r="H79" s="93"/>
      <c r="I79" s="209"/>
      <c r="J79" s="93"/>
      <c r="K79" s="93"/>
      <c r="L79" s="93"/>
      <c r="M79" s="209"/>
      <c r="N79" s="93"/>
      <c r="O79" s="93"/>
      <c r="P79" s="93"/>
    </row>
    <row r="80" spans="1:16" outlineLevel="1">
      <c r="A80" s="140"/>
      <c r="B80" s="93"/>
      <c r="C80" s="93"/>
      <c r="D80" s="93"/>
      <c r="E80" s="93"/>
      <c r="F80" s="93"/>
      <c r="G80" s="93"/>
      <c r="H80" s="93"/>
      <c r="I80" s="209"/>
      <c r="J80" s="93"/>
      <c r="K80" s="93"/>
      <c r="L80" s="93"/>
      <c r="M80" s="209"/>
      <c r="N80" s="93"/>
      <c r="O80" s="93"/>
      <c r="P80" s="93"/>
    </row>
    <row r="81" spans="1:16" outlineLevel="1">
      <c r="A81" s="140"/>
      <c r="B81" s="93"/>
      <c r="C81" s="93"/>
      <c r="D81" s="93"/>
      <c r="E81" s="93"/>
      <c r="F81" s="93"/>
      <c r="G81" s="93"/>
      <c r="H81" s="93"/>
      <c r="I81" s="209"/>
      <c r="J81" s="93"/>
      <c r="K81" s="93"/>
      <c r="L81" s="93"/>
      <c r="M81" s="209"/>
      <c r="N81" s="93"/>
      <c r="O81" s="93"/>
      <c r="P81" s="93"/>
    </row>
    <row r="82" spans="1:16" outlineLevel="1">
      <c r="A82" s="93"/>
      <c r="B82" s="93"/>
      <c r="C82" s="93"/>
      <c r="D82" s="93"/>
      <c r="E82" s="93"/>
      <c r="F82" s="93"/>
      <c r="G82" s="93"/>
      <c r="H82" s="93"/>
      <c r="I82" s="209"/>
      <c r="J82" s="93"/>
      <c r="K82" s="93"/>
      <c r="L82" s="93"/>
      <c r="M82" s="209"/>
      <c r="N82" s="93"/>
      <c r="O82" s="93"/>
      <c r="P82" s="93"/>
    </row>
    <row r="83" spans="1:16" outlineLevel="1">
      <c r="A83" s="93"/>
      <c r="B83" s="93"/>
      <c r="C83" s="93"/>
      <c r="D83" s="93"/>
      <c r="E83" s="93"/>
      <c r="F83" s="93"/>
      <c r="G83" s="93"/>
      <c r="H83" s="93"/>
      <c r="I83" s="209"/>
      <c r="J83" s="93"/>
      <c r="K83" s="93"/>
      <c r="L83" s="93"/>
      <c r="M83" s="209"/>
      <c r="N83" s="93"/>
      <c r="O83" s="93"/>
      <c r="P83" s="93"/>
    </row>
    <row r="84" spans="1:16" outlineLevel="1">
      <c r="A84" s="93"/>
      <c r="B84" s="93"/>
      <c r="C84" s="93"/>
      <c r="D84" s="93"/>
      <c r="E84" s="93"/>
      <c r="F84" s="93"/>
      <c r="G84" s="93"/>
      <c r="H84" s="93"/>
      <c r="I84" s="209"/>
      <c r="J84" s="93"/>
      <c r="K84" s="93"/>
      <c r="L84" s="93"/>
      <c r="M84" s="209"/>
      <c r="N84" s="93"/>
      <c r="O84" s="93"/>
      <c r="P84" s="93"/>
    </row>
    <row r="85" spans="1:16" outlineLevel="1">
      <c r="A85" s="93"/>
      <c r="B85" s="93"/>
      <c r="C85" s="93"/>
      <c r="D85" s="93"/>
      <c r="E85" s="93"/>
      <c r="F85" s="93"/>
      <c r="G85" s="93"/>
      <c r="H85" s="93"/>
      <c r="I85" s="209"/>
      <c r="J85" s="93"/>
      <c r="K85" s="93"/>
      <c r="L85" s="93"/>
      <c r="M85" s="209"/>
      <c r="N85" s="93"/>
      <c r="O85" s="93"/>
      <c r="P85" s="93"/>
    </row>
    <row r="86" spans="1:16" outlineLevel="1">
      <c r="A86" s="93"/>
      <c r="B86" s="93"/>
      <c r="C86" s="93"/>
      <c r="D86" s="93"/>
      <c r="E86" s="93"/>
      <c r="F86" s="93"/>
      <c r="G86" s="93"/>
      <c r="H86" s="93"/>
      <c r="I86" s="209"/>
      <c r="J86" s="93"/>
      <c r="K86" s="93"/>
      <c r="L86" s="93"/>
      <c r="M86" s="209"/>
      <c r="N86" s="93"/>
      <c r="O86" s="93"/>
      <c r="P86" s="93"/>
    </row>
    <row r="87" spans="1:16" outlineLevel="1">
      <c r="A87" s="93"/>
      <c r="B87" s="93"/>
      <c r="C87" s="93"/>
      <c r="D87" s="93"/>
      <c r="E87" s="93"/>
      <c r="F87" s="93"/>
      <c r="G87" s="93"/>
      <c r="H87" s="93"/>
      <c r="I87" s="209"/>
      <c r="J87" s="93"/>
      <c r="K87" s="93"/>
      <c r="L87" s="93"/>
      <c r="M87" s="209"/>
      <c r="N87" s="93"/>
      <c r="O87" s="93"/>
      <c r="P87" s="93"/>
    </row>
    <row r="88" spans="1:16" outlineLevel="1">
      <c r="A88" s="93"/>
      <c r="B88" s="93"/>
      <c r="C88" s="93"/>
      <c r="D88" s="93"/>
      <c r="E88" s="93"/>
      <c r="F88" s="93"/>
      <c r="G88" s="93"/>
      <c r="H88" s="93"/>
      <c r="I88" s="209"/>
      <c r="J88" s="93"/>
      <c r="K88" s="93"/>
      <c r="L88" s="93"/>
      <c r="M88" s="209"/>
      <c r="N88" s="93"/>
      <c r="O88" s="93"/>
      <c r="P88" s="93"/>
    </row>
    <row r="89" spans="1:16" outlineLevel="1">
      <c r="A89" s="93"/>
      <c r="B89" s="93"/>
      <c r="C89" s="93"/>
      <c r="D89" s="93"/>
      <c r="E89" s="93"/>
      <c r="F89" s="93"/>
      <c r="G89" s="93"/>
      <c r="H89" s="93"/>
      <c r="I89" s="209"/>
      <c r="J89" s="93"/>
      <c r="K89" s="93"/>
      <c r="L89" s="93"/>
      <c r="M89" s="209"/>
      <c r="N89" s="93"/>
      <c r="O89" s="93"/>
      <c r="P89" s="93"/>
    </row>
    <row r="91" spans="1:16" ht="15.9">
      <c r="A91" s="170" t="s">
        <v>305</v>
      </c>
    </row>
    <row r="92" spans="1:16">
      <c r="A92" t="s">
        <v>224</v>
      </c>
      <c r="B92" t="s">
        <v>306</v>
      </c>
      <c r="C92" t="s">
        <v>307</v>
      </c>
      <c r="D92" t="s">
        <v>265</v>
      </c>
      <c r="E92" t="s">
        <v>308</v>
      </c>
      <c r="F92" t="s">
        <v>256</v>
      </c>
    </row>
    <row r="93" spans="1:16" hidden="1" outlineLevel="1">
      <c r="C93" s="112"/>
      <c r="D93" s="218"/>
    </row>
    <row r="94" spans="1:16" hidden="1" outlineLevel="1">
      <c r="C94" s="112"/>
      <c r="D94" s="218"/>
    </row>
    <row r="95" spans="1:16" hidden="1" outlineLevel="1">
      <c r="C95" s="112"/>
      <c r="D95" s="218"/>
    </row>
    <row r="96" spans="1:16" hidden="1" outlineLevel="1">
      <c r="C96" s="112"/>
      <c r="D96" s="218"/>
    </row>
    <row r="97" spans="1:6" hidden="1" outlineLevel="1">
      <c r="C97" s="112"/>
    </row>
    <row r="98" spans="1:6" hidden="1" outlineLevel="1">
      <c r="C98" s="112"/>
    </row>
    <row r="99" spans="1:6" collapsed="1"/>
    <row r="100" spans="1:6" ht="15.9">
      <c r="A100" s="170" t="s">
        <v>309</v>
      </c>
    </row>
    <row r="101" spans="1:6">
      <c r="A101" t="s">
        <v>310</v>
      </c>
      <c r="B101" t="s">
        <v>311</v>
      </c>
      <c r="C101" t="s">
        <v>312</v>
      </c>
      <c r="D101" t="s">
        <v>313</v>
      </c>
      <c r="E101" t="s">
        <v>314</v>
      </c>
      <c r="F101" t="s">
        <v>315</v>
      </c>
    </row>
    <row r="102" spans="1:6" hidden="1" outlineLevel="1">
      <c r="F102">
        <f>Table791326[[#This Row],[Purchase Price]]-Table791326[[#This Row],[Sale Price]]</f>
        <v>0</v>
      </c>
    </row>
    <row r="103" spans="1:6" hidden="1" outlineLevel="1">
      <c r="F103">
        <f>Table791326[[#This Row],[Purchase Price]]-Table791326[[#This Row],[Sale Price]]</f>
        <v>0</v>
      </c>
    </row>
    <row r="104" spans="1:6" hidden="1" outlineLevel="1">
      <c r="F104">
        <f>Table791326[[#This Row],[Purchase Price]]-Table791326[[#This Row],[Sale Price]]</f>
        <v>0</v>
      </c>
    </row>
    <row r="105" spans="1:6" hidden="1" outlineLevel="1">
      <c r="F105">
        <f>Table791326[[#This Row],[Purchase Price]]-Table791326[[#This Row],[Sale Price]]</f>
        <v>0</v>
      </c>
    </row>
    <row r="106" spans="1:6" hidden="1" outlineLevel="1">
      <c r="F106">
        <f>Table791326[[#This Row],[Purchase Price]]-Table791326[[#This Row],[Sale Price]]</f>
        <v>0</v>
      </c>
    </row>
    <row r="107" spans="1:6" hidden="1" outlineLevel="1">
      <c r="F107">
        <f>Table791326[[#This Row],[Purchase Price]]-Table791326[[#This Row],[Sale Price]]</f>
        <v>0</v>
      </c>
    </row>
    <row r="108" spans="1:6" hidden="1" outlineLevel="1">
      <c r="F108">
        <f>Table791326[[#This Row],[Purchase Price]]-Table791326[[#This Row],[Sale Price]]</f>
        <v>0</v>
      </c>
    </row>
    <row r="109" spans="1:6" hidden="1" outlineLevel="1">
      <c r="F109">
        <f>Table791326[[#This Row],[Purchase Price]]-Table791326[[#This Row],[Sale Price]]</f>
        <v>0</v>
      </c>
    </row>
    <row r="110" spans="1:6" hidden="1" outlineLevel="1">
      <c r="F110">
        <f>Table791326[[#This Row],[Purchase Price]]-Table791326[[#This Row],[Sale Price]]</f>
        <v>0</v>
      </c>
    </row>
    <row r="111" spans="1:6" hidden="1" outlineLevel="1">
      <c r="F111">
        <f>Table791326[[#This Row],[Purchase Price]]-Table791326[[#This Row],[Sale Price]]</f>
        <v>0</v>
      </c>
    </row>
    <row r="112" spans="1:6" hidden="1" outlineLevel="1">
      <c r="F112">
        <f>Table791326[[#This Row],[Purchase Price]]-Table791326[[#This Row],[Sale Price]]</f>
        <v>0</v>
      </c>
    </row>
    <row r="113" spans="6:6" hidden="1" outlineLevel="1">
      <c r="F113">
        <f>Table791326[[#This Row],[Purchase Price]]-Table791326[[#This Row],[Sale Price]]</f>
        <v>0</v>
      </c>
    </row>
    <row r="114" spans="6:6" hidden="1" outlineLevel="1">
      <c r="F114">
        <f>Table791326[[#This Row],[Purchase Price]]-Table791326[[#This Row],[Sale Price]]</f>
        <v>0</v>
      </c>
    </row>
    <row r="115" spans="6:6" hidden="1" outlineLevel="1">
      <c r="F115">
        <f>Table791326[[#This Row],[Purchase Price]]-Table791326[[#This Row],[Sale Price]]</f>
        <v>0</v>
      </c>
    </row>
    <row r="116" spans="6:6" hidden="1" outlineLevel="1">
      <c r="F116">
        <f>Table791326[[#This Row],[Purchase Price]]-Table791326[[#This Row],[Sale Price]]</f>
        <v>0</v>
      </c>
    </row>
    <row r="117" spans="6:6" hidden="1" outlineLevel="1">
      <c r="F117">
        <f>Table791326[[#This Row],[Purchase Price]]-Table791326[[#This Row],[Sale Price]]</f>
        <v>0</v>
      </c>
    </row>
    <row r="118" spans="6:6" hidden="1" outlineLevel="1">
      <c r="F118">
        <f>Table791326[[#This Row],[Purchase Price]]-Table791326[[#This Row],[Sale Price]]</f>
        <v>0</v>
      </c>
    </row>
    <row r="119" spans="6:6" hidden="1" outlineLevel="1">
      <c r="F119">
        <f>Table791326[[#This Row],[Purchase Price]]-Table791326[[#This Row],[Sale Price]]</f>
        <v>0</v>
      </c>
    </row>
    <row r="120" spans="6:6" collapsed="1"/>
  </sheetData>
  <mergeCells count="3">
    <mergeCell ref="A3:G3"/>
    <mergeCell ref="B6:C6"/>
    <mergeCell ref="B15:C15"/>
  </mergeCells>
  <hyperlinks>
    <hyperlink ref="F30" r:id="rId1" display="../../../../:b:/g/personal/robert_tekna_com_au/EQjDTwPFR8NHkUwQXEOyPd4B65Lku3jF4SSlwVduVutN4g?e=HANiIg" xr:uid="{7F4D86C2-0C70-874F-9BA6-79D21869894D}"/>
    <hyperlink ref="B24" r:id="rId2" xr:uid="{06887224-2803-7B41-8B5B-6C14B34844D5}"/>
  </hyperlinks>
  <pageMargins left="0.7" right="0.7" top="0.75" bottom="0.75" header="0.3" footer="0.3"/>
  <tableParts count="4">
    <tablePart r:id="rId3"/>
    <tablePart r:id="rId4"/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AB3C678-F292-4742-84B3-C6660B0F0B8F}">
          <x14:formula1>
            <xm:f>'Document Type'!$B$49:$B$51</xm:f>
          </x14:formula1>
          <xm:sqref>B10:B11</xm:sqref>
        </x14:dataValidation>
        <x14:dataValidation type="list" allowBlank="1" showInputMessage="1" showErrorMessage="1" xr:uid="{8C0A0AFE-01C6-455C-A190-F11C6CBC1365}">
          <x14:formula1>
            <xm:f>'Document Type'!$B$45:$B$47</xm:f>
          </x14:formula1>
          <xm:sqref>B8 F8</xm:sqref>
        </x14:dataValidation>
        <x14:dataValidation type="list" allowBlank="1" showInputMessage="1" showErrorMessage="1" xr:uid="{B22A79DF-8B21-46D9-A8B7-6CE510EF6C0D}">
          <x14:formula1>
            <xm:f>'Document Type'!$B$38:$B$39</xm:f>
          </x14:formula1>
          <xm:sqref>E15 F13 B13 F6</xm:sqref>
        </x14:dataValidation>
        <x14:dataValidation type="list" allowBlank="1" showInputMessage="1" showErrorMessage="1" xr:uid="{D879F052-0DB1-4A75-A2BD-2EB578D6E711}">
          <x14:formula1>
            <xm:f>'Document Type'!$B$6:$B$34</xm:f>
          </x14:formula1>
          <xm:sqref>B27:B34 B36:B60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7225-7962-435D-92DD-D2AF8F31F0F8}">
  <dimension ref="A1:P100"/>
  <sheetViews>
    <sheetView topLeftCell="A3" workbookViewId="0">
      <selection activeCell="C43" sqref="C43"/>
    </sheetView>
  </sheetViews>
  <sheetFormatPr defaultColWidth="8.69140625" defaultRowHeight="14.6" outlineLevelRow="1"/>
  <cols>
    <col min="1" max="1" width="38.3046875" bestFit="1" customWidth="1"/>
    <col min="2" max="2" width="42.69140625" bestFit="1" customWidth="1"/>
    <col min="3" max="3" width="29.15234375" customWidth="1"/>
    <col min="4" max="4" width="18.3046875" bestFit="1" customWidth="1"/>
    <col min="5" max="5" width="28.15234375" bestFit="1" customWidth="1"/>
    <col min="6" max="6" width="46.69140625" bestFit="1" customWidth="1"/>
    <col min="7" max="7" width="36.4609375" bestFit="1" customWidth="1"/>
    <col min="8" max="8" width="17.3046875" bestFit="1" customWidth="1"/>
    <col min="9" max="9" width="20.4609375" customWidth="1"/>
    <col min="10" max="10" width="76.3046875" bestFit="1" customWidth="1"/>
    <col min="11" max="11" width="25.3046875" bestFit="1" customWidth="1"/>
    <col min="12" max="12" width="29.69140625" bestFit="1" customWidth="1"/>
    <col min="13" max="13" width="34.15234375" bestFit="1" customWidth="1"/>
    <col min="14" max="14" width="32.3046875" bestFit="1" customWidth="1"/>
    <col min="15" max="15" width="40.3046875" bestFit="1" customWidth="1"/>
    <col min="16" max="16" width="25.69140625" bestFit="1" customWidth="1"/>
  </cols>
  <sheetData>
    <row r="1" spans="1:9">
      <c r="A1" s="69" t="s">
        <v>195</v>
      </c>
    </row>
    <row r="2" spans="1:9" ht="15" thickBot="1"/>
    <row r="3" spans="1:9" ht="26.8" customHeight="1" thickBot="1">
      <c r="A3" s="373" t="s">
        <v>404</v>
      </c>
      <c r="B3" s="374"/>
      <c r="C3" s="374"/>
      <c r="D3" s="374"/>
      <c r="E3" s="374"/>
      <c r="F3" s="374"/>
      <c r="G3" s="375"/>
      <c r="I3" s="334" t="s">
        <v>333</v>
      </c>
    </row>
    <row r="4" spans="1:9" ht="17.8" customHeight="1">
      <c r="A4" s="245" t="s">
        <v>201</v>
      </c>
      <c r="B4" s="287" t="s">
        <v>108</v>
      </c>
      <c r="C4" s="273" t="s">
        <v>202</v>
      </c>
      <c r="D4" s="287" t="s">
        <v>109</v>
      </c>
      <c r="E4" s="93"/>
      <c r="F4" s="273" t="s">
        <v>203</v>
      </c>
      <c r="G4" s="287" t="s">
        <v>110</v>
      </c>
      <c r="I4" t="s">
        <v>334</v>
      </c>
    </row>
    <row r="5" spans="1:9">
      <c r="A5" s="250" t="s">
        <v>206</v>
      </c>
      <c r="B5" s="254">
        <v>44651</v>
      </c>
      <c r="C5" s="254"/>
      <c r="D5" s="256"/>
      <c r="E5" s="274" t="s">
        <v>207</v>
      </c>
      <c r="F5" s="255">
        <v>100</v>
      </c>
      <c r="G5" s="258"/>
    </row>
    <row r="6" spans="1:9">
      <c r="A6" s="251" t="s">
        <v>210</v>
      </c>
      <c r="B6" s="376"/>
      <c r="C6" s="376"/>
      <c r="D6" s="232"/>
      <c r="E6" s="275" t="s">
        <v>211</v>
      </c>
      <c r="F6" s="232"/>
      <c r="G6" s="276"/>
    </row>
    <row r="7" spans="1:9">
      <c r="A7" s="250" t="s">
        <v>215</v>
      </c>
      <c r="B7" s="256"/>
      <c r="C7" s="256"/>
      <c r="D7" s="254"/>
      <c r="E7" s="256"/>
      <c r="F7" s="256"/>
      <c r="G7" s="257"/>
    </row>
    <row r="8" spans="1:9">
      <c r="A8" s="249" t="s">
        <v>218</v>
      </c>
      <c r="B8" s="350" t="s">
        <v>219</v>
      </c>
      <c r="C8" s="232"/>
      <c r="D8" s="252"/>
      <c r="E8" s="275" t="s">
        <v>220</v>
      </c>
      <c r="F8" s="232" t="s">
        <v>221</v>
      </c>
      <c r="G8" s="276"/>
    </row>
    <row r="9" spans="1:9">
      <c r="A9" s="259"/>
      <c r="B9" s="256"/>
      <c r="C9" s="256" t="s">
        <v>224</v>
      </c>
      <c r="D9" s="254"/>
      <c r="E9" s="256"/>
      <c r="F9" s="256"/>
      <c r="G9" s="257"/>
    </row>
    <row r="10" spans="1:9">
      <c r="A10" s="249" t="s">
        <v>227</v>
      </c>
      <c r="B10" s="277" t="s">
        <v>228</v>
      </c>
      <c r="C10" s="252">
        <v>44651</v>
      </c>
      <c r="D10" s="232"/>
      <c r="E10" s="232"/>
      <c r="F10" s="232"/>
      <c r="G10" s="276"/>
    </row>
    <row r="11" spans="1:9">
      <c r="A11" s="250" t="s">
        <v>231</v>
      </c>
      <c r="B11" s="290" t="s">
        <v>228</v>
      </c>
      <c r="C11" s="254">
        <v>44651</v>
      </c>
      <c r="D11" s="256"/>
      <c r="E11" s="256"/>
      <c r="F11" s="255"/>
      <c r="G11" s="258"/>
    </row>
    <row r="12" spans="1:9">
      <c r="A12" s="240"/>
      <c r="B12" s="232"/>
      <c r="C12" s="232"/>
      <c r="D12" s="252"/>
      <c r="E12" s="232"/>
      <c r="F12" s="232"/>
      <c r="G12" s="276"/>
    </row>
    <row r="13" spans="1:9">
      <c r="A13" s="250" t="s">
        <v>236</v>
      </c>
      <c r="B13" s="237" t="s">
        <v>237</v>
      </c>
      <c r="C13" s="256"/>
      <c r="D13" s="256"/>
      <c r="E13" s="274" t="s">
        <v>238</v>
      </c>
      <c r="F13" s="237" t="s">
        <v>237</v>
      </c>
      <c r="G13" s="256"/>
    </row>
    <row r="14" spans="1:9">
      <c r="A14" s="242"/>
      <c r="B14" s="233"/>
      <c r="C14" s="233"/>
      <c r="D14" s="232" t="s">
        <v>240</v>
      </c>
      <c r="E14" s="275" t="s">
        <v>241</v>
      </c>
      <c r="F14" s="232"/>
      <c r="G14" s="232"/>
    </row>
    <row r="15" spans="1:9">
      <c r="A15" s="250" t="s">
        <v>243</v>
      </c>
      <c r="B15" s="378" t="s">
        <v>316</v>
      </c>
      <c r="C15" s="378"/>
      <c r="D15" s="256">
        <v>100</v>
      </c>
      <c r="E15" s="256" t="s">
        <v>212</v>
      </c>
      <c r="F15" s="256"/>
      <c r="G15" s="256"/>
    </row>
    <row r="16" spans="1:9">
      <c r="A16" s="242"/>
      <c r="B16" s="233"/>
      <c r="C16" s="233"/>
      <c r="D16" s="232"/>
      <c r="E16" s="232"/>
      <c r="F16" s="232"/>
      <c r="G16" s="232"/>
    </row>
    <row r="17" spans="1:9">
      <c r="A17" s="250" t="s">
        <v>247</v>
      </c>
      <c r="B17" s="256" t="s">
        <v>248</v>
      </c>
      <c r="C17" s="256" t="s">
        <v>82</v>
      </c>
      <c r="D17" s="254" t="s">
        <v>83</v>
      </c>
      <c r="E17" s="256" t="s">
        <v>249</v>
      </c>
      <c r="F17" s="255"/>
      <c r="G17" s="255"/>
    </row>
    <row r="18" spans="1:9">
      <c r="A18" s="240"/>
      <c r="B18" s="232" t="s">
        <v>317</v>
      </c>
      <c r="C18" s="297" t="s">
        <v>341</v>
      </c>
      <c r="D18" s="44">
        <v>709783</v>
      </c>
      <c r="E18" s="48">
        <v>45356</v>
      </c>
      <c r="F18" s="232"/>
      <c r="G18" s="232"/>
    </row>
    <row r="19" spans="1:9">
      <c r="A19" s="259"/>
      <c r="B19" s="256" t="s">
        <v>251</v>
      </c>
      <c r="C19" s="256" t="s">
        <v>252</v>
      </c>
      <c r="D19" s="256">
        <v>767243550</v>
      </c>
      <c r="E19" s="254">
        <v>44658</v>
      </c>
      <c r="F19" s="256"/>
      <c r="G19" s="256"/>
    </row>
    <row r="20" spans="1:9">
      <c r="A20" s="240"/>
      <c r="B20" s="232"/>
      <c r="C20" s="232"/>
      <c r="D20" s="252"/>
      <c r="E20" s="232"/>
      <c r="F20" s="232"/>
      <c r="G20" s="232"/>
    </row>
    <row r="21" spans="1:9">
      <c r="A21" s="259"/>
      <c r="B21" s="256"/>
      <c r="C21" s="256"/>
      <c r="D21" s="254"/>
      <c r="E21" s="256"/>
      <c r="F21" s="256"/>
      <c r="G21" s="256"/>
    </row>
    <row r="22" spans="1:9">
      <c r="A22" s="240"/>
      <c r="B22" s="232"/>
      <c r="C22" s="232"/>
      <c r="D22" s="252"/>
      <c r="E22" s="232"/>
      <c r="F22" s="232"/>
      <c r="G22" s="232"/>
    </row>
    <row r="24" spans="1:9">
      <c r="A24" t="s">
        <v>259</v>
      </c>
      <c r="B24" s="69" t="s">
        <v>107</v>
      </c>
      <c r="C24" t="s">
        <v>260</v>
      </c>
      <c r="D24" t="s">
        <v>107</v>
      </c>
    </row>
    <row r="26" spans="1:9" ht="15.9">
      <c r="A26" s="170" t="s">
        <v>262</v>
      </c>
      <c r="B26" s="170" t="s">
        <v>263</v>
      </c>
      <c r="C26" s="170" t="s">
        <v>264</v>
      </c>
      <c r="D26" s="170" t="s">
        <v>265</v>
      </c>
      <c r="E26" s="170" t="s">
        <v>266</v>
      </c>
      <c r="F26" s="170" t="s">
        <v>267</v>
      </c>
      <c r="G26" s="170" t="s">
        <v>268</v>
      </c>
      <c r="I26" s="170"/>
    </row>
    <row r="27" spans="1:9" outlineLevel="1">
      <c r="A27" t="s">
        <v>425</v>
      </c>
      <c r="B27" t="s">
        <v>287</v>
      </c>
      <c r="C27" t="str">
        <f>VLOOKUP(B27,'Document Type'!$B$6:$C$34,2,FALSE)</f>
        <v>General</v>
      </c>
      <c r="D27" s="218">
        <v>44651</v>
      </c>
      <c r="F27" t="s">
        <v>426</v>
      </c>
    </row>
    <row r="28" spans="1:9" outlineLevel="1">
      <c r="A28" t="s">
        <v>397</v>
      </c>
      <c r="B28" t="s">
        <v>216</v>
      </c>
      <c r="C28" t="str">
        <f>VLOOKUP(B28,'Document Type'!$B$6:$C$34,2,FALSE)</f>
        <v>Register of Members</v>
      </c>
      <c r="D28" s="218">
        <v>44714</v>
      </c>
      <c r="F28" t="s">
        <v>421</v>
      </c>
    </row>
    <row r="29" spans="1:9" outlineLevel="1">
      <c r="A29" t="s">
        <v>413</v>
      </c>
      <c r="B29" t="s">
        <v>204</v>
      </c>
      <c r="C29" t="str">
        <f>VLOOKUP(B29,'Document Type'!$B$6:$C$34,2,FALSE)</f>
        <v>Company Setup</v>
      </c>
      <c r="D29" s="218">
        <v>44714</v>
      </c>
      <c r="F29" t="s">
        <v>414</v>
      </c>
    </row>
    <row r="30" spans="1:9" outlineLevel="1">
      <c r="A30" t="s">
        <v>427</v>
      </c>
      <c r="B30" t="s">
        <v>216</v>
      </c>
      <c r="C30" t="str">
        <f>VLOOKUP(B30,'Document Type'!$B$6:$C$34,2,FALSE)</f>
        <v>Register of Members</v>
      </c>
      <c r="D30" s="218">
        <v>44651</v>
      </c>
      <c r="F30" t="s">
        <v>428</v>
      </c>
    </row>
    <row r="31" spans="1:9" outlineLevel="1">
      <c r="A31" t="s">
        <v>408</v>
      </c>
      <c r="B31" t="s">
        <v>213</v>
      </c>
      <c r="C31" t="str">
        <f>VLOOKUP(B31,'Document Type'!$B$6:$C$34,2,FALSE)</f>
        <v>Constitution</v>
      </c>
      <c r="D31" s="218">
        <v>44850</v>
      </c>
      <c r="F31" s="69" t="s">
        <v>409</v>
      </c>
    </row>
    <row r="32" spans="1:9" outlineLevel="1">
      <c r="A32" t="s">
        <v>2</v>
      </c>
      <c r="B32" t="s">
        <v>2</v>
      </c>
      <c r="C32" t="str">
        <f>VLOOKUP(B32,'Document Type'!$B$6:$C$34,2,FALSE)</f>
        <v>General</v>
      </c>
      <c r="D32" s="218">
        <v>45106</v>
      </c>
      <c r="F32" t="s">
        <v>410</v>
      </c>
    </row>
    <row r="33" spans="1:7" outlineLevel="1">
      <c r="A33" t="s">
        <v>416</v>
      </c>
      <c r="B33" t="s">
        <v>253</v>
      </c>
      <c r="C33" t="str">
        <f>VLOOKUP(B33,'Document Type'!$B$6:$C$34,2,FALSE)</f>
        <v>General</v>
      </c>
      <c r="D33" s="218">
        <v>44651</v>
      </c>
      <c r="F33" t="s">
        <v>417</v>
      </c>
    </row>
    <row r="34" spans="1:7" outlineLevel="1">
      <c r="A34" s="14" t="s">
        <v>405</v>
      </c>
      <c r="B34" t="s">
        <v>253</v>
      </c>
      <c r="C34" t="str">
        <f>VLOOKUP(B34,'Document Type'!$B$6:$C$34,2,FALSE)</f>
        <v>General</v>
      </c>
      <c r="D34" s="218">
        <v>45473</v>
      </c>
      <c r="F34" t="s">
        <v>406</v>
      </c>
    </row>
    <row r="35" spans="1:7" outlineLevel="1">
      <c r="A35" t="s">
        <v>411</v>
      </c>
      <c r="B35" t="s">
        <v>253</v>
      </c>
      <c r="C35" t="str">
        <f>VLOOKUP(B35,'Document Type'!$B$6:$C$34,2,FALSE)</f>
        <v>General</v>
      </c>
      <c r="D35" s="218">
        <v>45107</v>
      </c>
      <c r="F35" t="s">
        <v>412</v>
      </c>
    </row>
    <row r="36" spans="1:7" outlineLevel="1">
      <c r="A36" t="s">
        <v>325</v>
      </c>
      <c r="B36" t="s">
        <v>234</v>
      </c>
      <c r="C36" t="str">
        <f>VLOOKUP(B36,'Document Type'!$B$6:$C$34,2,FALSE)</f>
        <v>General</v>
      </c>
      <c r="D36" s="218">
        <v>45107</v>
      </c>
      <c r="F36" t="s">
        <v>415</v>
      </c>
    </row>
    <row r="37" spans="1:7" outlineLevel="1">
      <c r="A37" t="s">
        <v>272</v>
      </c>
      <c r="B37" t="s">
        <v>234</v>
      </c>
      <c r="C37" t="str">
        <f>VLOOKUP(B37,'Document Type'!$B$6:$C$34,2,FALSE)</f>
        <v>General</v>
      </c>
      <c r="D37" s="218">
        <v>45473</v>
      </c>
      <c r="F37" t="s">
        <v>407</v>
      </c>
    </row>
    <row r="38" spans="1:7" outlineLevel="1">
      <c r="A38" t="s">
        <v>1285</v>
      </c>
      <c r="B38" t="s">
        <v>245</v>
      </c>
      <c r="C38" t="str">
        <f>VLOOKUP(B38,'Document Type'!$B$6:$C$34,2,FALSE)</f>
        <v>General</v>
      </c>
      <c r="D38" s="218">
        <v>45562</v>
      </c>
      <c r="F38" t="s">
        <v>1330</v>
      </c>
      <c r="G38" t="s">
        <v>439</v>
      </c>
    </row>
    <row r="39" spans="1:7" outlineLevel="1">
      <c r="A39" t="s">
        <v>1286</v>
      </c>
      <c r="B39" t="s">
        <v>245</v>
      </c>
      <c r="C39" t="str">
        <f>VLOOKUP(B39,'Document Type'!$B$6:$C$34,2,FALSE)</f>
        <v>General</v>
      </c>
      <c r="D39" s="218">
        <v>45562</v>
      </c>
      <c r="F39" t="s">
        <v>1333</v>
      </c>
      <c r="G39" t="s">
        <v>439</v>
      </c>
    </row>
    <row r="40" spans="1:7" outlineLevel="1">
      <c r="A40" t="s">
        <v>1287</v>
      </c>
      <c r="B40" t="s">
        <v>245</v>
      </c>
      <c r="C40" t="str">
        <f>VLOOKUP(B40,'Document Type'!$B$6:$C$34,2,FALSE)</f>
        <v>General</v>
      </c>
      <c r="D40" s="218">
        <v>45562</v>
      </c>
      <c r="F40" t="s">
        <v>1331</v>
      </c>
      <c r="G40" t="s">
        <v>439</v>
      </c>
    </row>
    <row r="41" spans="1:7" outlineLevel="1">
      <c r="A41" t="s">
        <v>1288</v>
      </c>
      <c r="B41" t="s">
        <v>245</v>
      </c>
      <c r="C41" t="str">
        <f>VLOOKUP(B41,'Document Type'!$B$6:$C$34,2,FALSE)</f>
        <v>General</v>
      </c>
      <c r="D41" s="218">
        <v>45562</v>
      </c>
      <c r="F41" t="s">
        <v>1332</v>
      </c>
      <c r="G41" t="s">
        <v>439</v>
      </c>
    </row>
    <row r="42" spans="1:7" outlineLevel="1">
      <c r="A42" t="s">
        <v>1275</v>
      </c>
      <c r="B42" t="s">
        <v>196</v>
      </c>
      <c r="C42" t="str">
        <f>VLOOKUP(B42,'Document Type'!$B$6:$C$34,2,FALSE)</f>
        <v>Loans and Security</v>
      </c>
      <c r="D42" s="218">
        <v>45517</v>
      </c>
      <c r="F42" t="s">
        <v>1274</v>
      </c>
    </row>
    <row r="43" spans="1:7" outlineLevel="1">
      <c r="A43" t="s">
        <v>429</v>
      </c>
      <c r="B43" t="s">
        <v>196</v>
      </c>
      <c r="C43" t="str">
        <f>VLOOKUP(B43,'Document Type'!$B$6:$C$34,2,FALSE)</f>
        <v>Loans and Security</v>
      </c>
      <c r="D43" s="218">
        <v>44658</v>
      </c>
      <c r="F43" t="s">
        <v>430</v>
      </c>
    </row>
    <row r="44" spans="1:7" outlineLevel="1">
      <c r="A44" t="s">
        <v>435</v>
      </c>
      <c r="B44" t="s">
        <v>196</v>
      </c>
      <c r="C44" t="str">
        <f>VLOOKUP(B44,'Document Type'!$B$6:$C$34,2,FALSE)</f>
        <v>Loans and Security</v>
      </c>
      <c r="D44" s="218">
        <v>45219</v>
      </c>
      <c r="F44" t="s">
        <v>436</v>
      </c>
    </row>
    <row r="45" spans="1:7" outlineLevel="1">
      <c r="A45" t="s">
        <v>433</v>
      </c>
      <c r="B45" t="s">
        <v>196</v>
      </c>
      <c r="C45" t="str">
        <f>VLOOKUP(B45,'Document Type'!$B$6:$C$34,2,FALSE)</f>
        <v>Loans and Security</v>
      </c>
      <c r="D45" s="218">
        <v>44713</v>
      </c>
      <c r="F45" t="s">
        <v>434</v>
      </c>
    </row>
    <row r="46" spans="1:7" outlineLevel="1">
      <c r="A46" t="s">
        <v>431</v>
      </c>
      <c r="B46" t="s">
        <v>196</v>
      </c>
      <c r="C46" t="str">
        <f>VLOOKUP(B46,'Document Type'!$B$6:$C$34,2,FALSE)</f>
        <v>Loans and Security</v>
      </c>
      <c r="D46" s="218">
        <v>44658</v>
      </c>
      <c r="F46" t="s">
        <v>432</v>
      </c>
    </row>
    <row r="47" spans="1:7" outlineLevel="1">
      <c r="A47" t="s">
        <v>395</v>
      </c>
      <c r="B47" t="s">
        <v>216</v>
      </c>
      <c r="C47" t="str">
        <f>VLOOKUP(B47,'Document Type'!$B$6:$C$34,2,FALSE)</f>
        <v>Register of Members</v>
      </c>
      <c r="D47" s="218">
        <v>45035</v>
      </c>
      <c r="F47" t="s">
        <v>422</v>
      </c>
    </row>
    <row r="48" spans="1:7" outlineLevel="1">
      <c r="A48" t="s">
        <v>393</v>
      </c>
      <c r="B48" t="s">
        <v>216</v>
      </c>
      <c r="C48" t="str">
        <f>VLOOKUP(B48,'Document Type'!$B$6:$C$34,2,FALSE)</f>
        <v>Register of Members</v>
      </c>
      <c r="D48" s="218">
        <v>44714</v>
      </c>
      <c r="F48" t="s">
        <v>420</v>
      </c>
    </row>
    <row r="49" spans="1:7" outlineLevel="1">
      <c r="A49" t="s">
        <v>418</v>
      </c>
      <c r="B49" t="s">
        <v>216</v>
      </c>
      <c r="C49" t="str">
        <f>VLOOKUP(B49,'Document Type'!$B$6:$C$34,2,FALSE)</f>
        <v>Register of Members</v>
      </c>
      <c r="D49" s="218">
        <v>44714</v>
      </c>
      <c r="F49" t="s">
        <v>419</v>
      </c>
    </row>
    <row r="50" spans="1:7" outlineLevel="1">
      <c r="A50" t="s">
        <v>389</v>
      </c>
      <c r="B50" t="s">
        <v>216</v>
      </c>
      <c r="C50" t="str">
        <f>VLOOKUP(B50,'Document Type'!$B$6:$C$34,2,FALSE)</f>
        <v>Register of Members</v>
      </c>
      <c r="D50" s="218">
        <v>44714</v>
      </c>
      <c r="F50" t="s">
        <v>424</v>
      </c>
    </row>
    <row r="51" spans="1:7" outlineLevel="1">
      <c r="A51" t="s">
        <v>1273</v>
      </c>
      <c r="B51" t="s">
        <v>199</v>
      </c>
      <c r="C51" t="str">
        <f>VLOOKUP(B51,'Document Type'!$B$6:$C$34,2,FALSE)</f>
        <v>Loans and Security</v>
      </c>
      <c r="D51" s="218">
        <v>45517</v>
      </c>
      <c r="F51" t="s">
        <v>1274</v>
      </c>
    </row>
    <row r="52" spans="1:7" outlineLevel="1">
      <c r="A52" t="s">
        <v>387</v>
      </c>
      <c r="B52" t="s">
        <v>216</v>
      </c>
      <c r="C52" t="str">
        <f>VLOOKUP(B52,'Document Type'!$B$6:$C$34,2,FALSE)</f>
        <v>Register of Members</v>
      </c>
      <c r="D52" s="218">
        <v>44714</v>
      </c>
      <c r="F52" t="s">
        <v>423</v>
      </c>
    </row>
    <row r="53" spans="1:7" outlineLevel="1">
      <c r="A53" t="s">
        <v>1353</v>
      </c>
      <c r="C53" t="e">
        <f>VLOOKUP(B53,'Document Type'!$B$6:$C$34,2,FALSE)</f>
        <v>#N/A</v>
      </c>
      <c r="D53" s="218">
        <v>45852</v>
      </c>
      <c r="F53" t="s">
        <v>1359</v>
      </c>
      <c r="G53" t="s">
        <v>439</v>
      </c>
    </row>
    <row r="54" spans="1:7" outlineLevel="1">
      <c r="A54" t="s">
        <v>1354</v>
      </c>
      <c r="C54" t="e">
        <f>VLOOKUP(B54,'Document Type'!$B$6:$C$34,2,FALSE)</f>
        <v>#N/A</v>
      </c>
      <c r="D54" s="218">
        <v>45852</v>
      </c>
      <c r="F54" t="s">
        <v>1360</v>
      </c>
      <c r="G54" t="s">
        <v>439</v>
      </c>
    </row>
    <row r="55" spans="1:7" outlineLevel="1">
      <c r="A55" t="s">
        <v>245</v>
      </c>
      <c r="B55" t="s">
        <v>245</v>
      </c>
      <c r="C55" t="str">
        <f>VLOOKUP(B55,'Document Type'!$B$6:$C$34,2,FALSE)</f>
        <v>General</v>
      </c>
      <c r="D55" s="218">
        <v>45884</v>
      </c>
      <c r="F55" t="s">
        <v>1374</v>
      </c>
      <c r="G55" t="s">
        <v>1239</v>
      </c>
    </row>
    <row r="56" spans="1:7" outlineLevel="1">
      <c r="A56" t="s">
        <v>245</v>
      </c>
      <c r="B56" t="s">
        <v>245</v>
      </c>
      <c r="C56" t="str">
        <f>VLOOKUP(B56,'Document Type'!$B$6:$C$34,2,FALSE)</f>
        <v>General</v>
      </c>
      <c r="D56" s="218">
        <v>45884</v>
      </c>
      <c r="F56" t="s">
        <v>1375</v>
      </c>
      <c r="G56" t="s">
        <v>1239</v>
      </c>
    </row>
    <row r="57" spans="1:7" outlineLevel="1">
      <c r="A57" t="s">
        <v>245</v>
      </c>
      <c r="B57" t="s">
        <v>245</v>
      </c>
      <c r="C57" t="str">
        <f>VLOOKUP(B57,'Document Type'!$B$6:$C$34,2,FALSE)</f>
        <v>General</v>
      </c>
      <c r="D57" s="218">
        <v>45884</v>
      </c>
      <c r="F57" t="s">
        <v>1376</v>
      </c>
      <c r="G57" t="s">
        <v>1239</v>
      </c>
    </row>
    <row r="58" spans="1:7" outlineLevel="1">
      <c r="C58" t="e">
        <f>VLOOKUP(B58,'Document Type'!$B$6:$C$34,2,FALSE)</f>
        <v>#N/A</v>
      </c>
    </row>
    <row r="59" spans="1:7" outlineLevel="1">
      <c r="C59" t="e">
        <f>VLOOKUP(B59,'Document Type'!$B$6:$C$34,2,FALSE)</f>
        <v>#N/A</v>
      </c>
    </row>
    <row r="60" spans="1:7" outlineLevel="1">
      <c r="C60" t="e">
        <f>VLOOKUP(B60,'Document Type'!$B$6:$C$34,2,FALSE)</f>
        <v>#N/A</v>
      </c>
    </row>
    <row r="61" spans="1:7" outlineLevel="1">
      <c r="C61" t="e">
        <f>VLOOKUP(B61,'Document Type'!$B$6:$C$34,2,FALSE)</f>
        <v>#N/A</v>
      </c>
    </row>
    <row r="64" spans="1:7" ht="15.9">
      <c r="A64" s="170" t="s">
        <v>289</v>
      </c>
    </row>
    <row r="65" spans="1:16">
      <c r="A65" s="232" t="s">
        <v>265</v>
      </c>
      <c r="B65" s="232" t="s">
        <v>290</v>
      </c>
      <c r="C65" s="232" t="s">
        <v>291</v>
      </c>
      <c r="D65" s="252" t="s">
        <v>292</v>
      </c>
      <c r="E65" s="232" t="s">
        <v>293</v>
      </c>
      <c r="F65" s="232" t="s">
        <v>294</v>
      </c>
      <c r="G65" s="276" t="s">
        <v>295</v>
      </c>
      <c r="H65" s="191" t="s">
        <v>296</v>
      </c>
      <c r="I65" s="209" t="s">
        <v>297</v>
      </c>
      <c r="J65" s="93" t="s">
        <v>298</v>
      </c>
      <c r="K65" s="93" t="s">
        <v>299</v>
      </c>
      <c r="L65" s="93" t="s">
        <v>300</v>
      </c>
      <c r="M65" s="209" t="s">
        <v>301</v>
      </c>
      <c r="N65" s="93" t="s">
        <v>302</v>
      </c>
      <c r="O65" s="93" t="s">
        <v>303</v>
      </c>
      <c r="P65" s="93" t="s">
        <v>304</v>
      </c>
    </row>
    <row r="66" spans="1:16" outlineLevel="1">
      <c r="A66" s="140">
        <v>44651</v>
      </c>
      <c r="B66" s="93" t="s">
        <v>437</v>
      </c>
      <c r="C66" s="93" t="s">
        <v>402</v>
      </c>
      <c r="D66" s="93"/>
      <c r="E66" s="93"/>
      <c r="F66" s="93"/>
      <c r="G66" s="93">
        <v>100</v>
      </c>
      <c r="H66" s="93"/>
      <c r="I66" s="209">
        <v>1</v>
      </c>
      <c r="J66" s="93"/>
      <c r="K66" s="93" t="s">
        <v>403</v>
      </c>
      <c r="L66" s="93">
        <v>100</v>
      </c>
      <c r="M66" s="209">
        <v>100</v>
      </c>
      <c r="N66" s="93" t="s">
        <v>438</v>
      </c>
      <c r="O66" s="93" t="s">
        <v>133</v>
      </c>
      <c r="P66" s="93"/>
    </row>
    <row r="67" spans="1:16" outlineLevel="1">
      <c r="A67" s="140"/>
      <c r="B67" s="93"/>
      <c r="C67" s="93"/>
      <c r="D67" s="93"/>
      <c r="E67" s="93"/>
      <c r="F67" s="93"/>
      <c r="G67" s="93"/>
      <c r="H67" s="93"/>
      <c r="I67" s="209"/>
      <c r="J67" s="93"/>
      <c r="K67" s="93"/>
      <c r="L67" s="93"/>
      <c r="M67" s="209"/>
      <c r="N67" s="93"/>
      <c r="O67" s="93"/>
      <c r="P67" s="93"/>
    </row>
    <row r="68" spans="1:16" outlineLevel="1">
      <c r="A68" s="140"/>
      <c r="B68" s="93"/>
      <c r="C68" s="93"/>
      <c r="D68" s="93"/>
      <c r="E68" s="93"/>
      <c r="F68" s="93"/>
      <c r="G68" s="93"/>
      <c r="H68" s="93"/>
      <c r="I68" s="209"/>
      <c r="J68" s="93"/>
      <c r="K68" s="93"/>
      <c r="L68" s="93"/>
      <c r="M68" s="209"/>
      <c r="N68" s="93"/>
      <c r="O68" s="93"/>
      <c r="P68" s="93"/>
    </row>
    <row r="69" spans="1:16" outlineLevel="1">
      <c r="A69" s="140"/>
      <c r="B69" s="93"/>
      <c r="C69" s="93"/>
      <c r="D69" s="93"/>
      <c r="E69" s="93"/>
      <c r="F69" s="93"/>
      <c r="G69" s="93"/>
      <c r="H69" s="93"/>
      <c r="I69" s="209"/>
      <c r="J69" s="93"/>
      <c r="K69" s="93"/>
      <c r="L69" s="93"/>
      <c r="M69" s="209"/>
      <c r="N69" s="93"/>
      <c r="O69" s="93"/>
      <c r="P69" s="93"/>
    </row>
    <row r="71" spans="1:16" ht="15.9">
      <c r="A71" s="170" t="s">
        <v>305</v>
      </c>
    </row>
    <row r="72" spans="1:16">
      <c r="A72" t="s">
        <v>224</v>
      </c>
      <c r="B72" t="s">
        <v>306</v>
      </c>
      <c r="C72" t="s">
        <v>307</v>
      </c>
      <c r="D72" t="s">
        <v>265</v>
      </c>
      <c r="E72" t="s">
        <v>308</v>
      </c>
      <c r="F72" t="s">
        <v>256</v>
      </c>
    </row>
    <row r="73" spans="1:16" outlineLevel="1">
      <c r="A73" t="s">
        <v>107</v>
      </c>
      <c r="B73" t="s">
        <v>439</v>
      </c>
      <c r="C73" s="112">
        <v>3000000</v>
      </c>
      <c r="D73" s="218">
        <v>44658</v>
      </c>
      <c r="E73" t="s">
        <v>237</v>
      </c>
      <c r="F73" t="s">
        <v>237</v>
      </c>
    </row>
    <row r="74" spans="1:16" outlineLevel="1">
      <c r="A74" t="s">
        <v>134</v>
      </c>
      <c r="B74" t="s">
        <v>107</v>
      </c>
      <c r="C74" s="112">
        <v>100000000</v>
      </c>
      <c r="D74" s="218">
        <v>44658</v>
      </c>
      <c r="E74" t="s">
        <v>237</v>
      </c>
      <c r="F74" t="s">
        <v>237</v>
      </c>
    </row>
    <row r="75" spans="1:16" outlineLevel="1">
      <c r="A75" t="s">
        <v>107</v>
      </c>
      <c r="B75" t="s">
        <v>161</v>
      </c>
      <c r="C75" s="112">
        <v>3000000</v>
      </c>
      <c r="D75" s="218">
        <v>44713</v>
      </c>
      <c r="E75" t="s">
        <v>237</v>
      </c>
      <c r="F75" t="s">
        <v>237</v>
      </c>
    </row>
    <row r="76" spans="1:16" outlineLevel="1">
      <c r="A76" t="s">
        <v>107</v>
      </c>
      <c r="B76" t="s">
        <v>440</v>
      </c>
      <c r="C76" s="112">
        <v>2000000</v>
      </c>
      <c r="D76" s="218">
        <v>45219</v>
      </c>
      <c r="E76" t="s">
        <v>237</v>
      </c>
      <c r="F76" t="s">
        <v>237</v>
      </c>
    </row>
    <row r="77" spans="1:16" outlineLevel="1">
      <c r="C77" s="112"/>
    </row>
    <row r="78" spans="1:16" outlineLevel="1">
      <c r="C78" s="112"/>
    </row>
    <row r="80" spans="1:16" ht="15.9">
      <c r="A80" s="170" t="s">
        <v>309</v>
      </c>
    </row>
    <row r="81" spans="1:6">
      <c r="A81" t="s">
        <v>310</v>
      </c>
      <c r="B81" t="s">
        <v>311</v>
      </c>
      <c r="C81" t="s">
        <v>312</v>
      </c>
      <c r="D81" t="s">
        <v>313</v>
      </c>
      <c r="E81" t="s">
        <v>314</v>
      </c>
      <c r="F81" t="s">
        <v>315</v>
      </c>
    </row>
    <row r="82" spans="1:6" hidden="1" outlineLevel="1">
      <c r="F82">
        <f>Table791322[[#This Row],[Purchase Price]]-Table791322[[#This Row],[Sale Price]]</f>
        <v>0</v>
      </c>
    </row>
    <row r="83" spans="1:6" hidden="1" outlineLevel="1">
      <c r="F83">
        <f>Table791322[[#This Row],[Purchase Price]]-Table791322[[#This Row],[Sale Price]]</f>
        <v>0</v>
      </c>
    </row>
    <row r="84" spans="1:6" hidden="1" outlineLevel="1">
      <c r="F84">
        <f>Table791322[[#This Row],[Purchase Price]]-Table791322[[#This Row],[Sale Price]]</f>
        <v>0</v>
      </c>
    </row>
    <row r="85" spans="1:6" hidden="1" outlineLevel="1">
      <c r="F85">
        <f>Table791322[[#This Row],[Purchase Price]]-Table791322[[#This Row],[Sale Price]]</f>
        <v>0</v>
      </c>
    </row>
    <row r="86" spans="1:6" hidden="1" outlineLevel="1">
      <c r="F86">
        <f>Table791322[[#This Row],[Purchase Price]]-Table791322[[#This Row],[Sale Price]]</f>
        <v>0</v>
      </c>
    </row>
    <row r="87" spans="1:6" hidden="1" outlineLevel="1">
      <c r="F87">
        <f>Table791322[[#This Row],[Purchase Price]]-Table791322[[#This Row],[Sale Price]]</f>
        <v>0</v>
      </c>
    </row>
    <row r="88" spans="1:6" hidden="1" outlineLevel="1">
      <c r="F88">
        <f>Table791322[[#This Row],[Purchase Price]]-Table791322[[#This Row],[Sale Price]]</f>
        <v>0</v>
      </c>
    </row>
    <row r="89" spans="1:6" hidden="1" outlineLevel="1">
      <c r="F89">
        <f>Table791322[[#This Row],[Purchase Price]]-Table791322[[#This Row],[Sale Price]]</f>
        <v>0</v>
      </c>
    </row>
    <row r="90" spans="1:6" hidden="1" outlineLevel="1">
      <c r="F90">
        <f>Table791322[[#This Row],[Purchase Price]]-Table791322[[#This Row],[Sale Price]]</f>
        <v>0</v>
      </c>
    </row>
    <row r="91" spans="1:6" hidden="1" outlineLevel="1">
      <c r="F91">
        <f>Table791322[[#This Row],[Purchase Price]]-Table791322[[#This Row],[Sale Price]]</f>
        <v>0</v>
      </c>
    </row>
    <row r="92" spans="1:6" hidden="1" outlineLevel="1">
      <c r="F92">
        <f>Table791322[[#This Row],[Purchase Price]]-Table791322[[#This Row],[Sale Price]]</f>
        <v>0</v>
      </c>
    </row>
    <row r="93" spans="1:6" hidden="1" outlineLevel="1">
      <c r="F93">
        <f>Table791322[[#This Row],[Purchase Price]]-Table791322[[#This Row],[Sale Price]]</f>
        <v>0</v>
      </c>
    </row>
    <row r="94" spans="1:6" hidden="1" outlineLevel="1">
      <c r="F94">
        <f>Table791322[[#This Row],[Purchase Price]]-Table791322[[#This Row],[Sale Price]]</f>
        <v>0</v>
      </c>
    </row>
    <row r="95" spans="1:6" hidden="1" outlineLevel="1">
      <c r="F95">
        <f>Table791322[[#This Row],[Purchase Price]]-Table791322[[#This Row],[Sale Price]]</f>
        <v>0</v>
      </c>
    </row>
    <row r="96" spans="1:6" hidden="1" outlineLevel="1">
      <c r="F96">
        <f>Table791322[[#This Row],[Purchase Price]]-Table791322[[#This Row],[Sale Price]]</f>
        <v>0</v>
      </c>
    </row>
    <row r="97" spans="6:6" hidden="1" outlineLevel="1">
      <c r="F97">
        <f>Table791322[[#This Row],[Purchase Price]]-Table791322[[#This Row],[Sale Price]]</f>
        <v>0</v>
      </c>
    </row>
    <row r="98" spans="6:6" hidden="1" outlineLevel="1">
      <c r="F98">
        <f>Table791322[[#This Row],[Purchase Price]]-Table791322[[#This Row],[Sale Price]]</f>
        <v>0</v>
      </c>
    </row>
    <row r="99" spans="6:6" hidden="1" outlineLevel="1">
      <c r="F99">
        <f>Table791322[[#This Row],[Purchase Price]]-Table791322[[#This Row],[Sale Price]]</f>
        <v>0</v>
      </c>
    </row>
    <row r="100" spans="6:6" collapsed="1"/>
  </sheetData>
  <mergeCells count="3">
    <mergeCell ref="A3:G3"/>
    <mergeCell ref="B6:C6"/>
    <mergeCell ref="B15:C15"/>
  </mergeCells>
  <hyperlinks>
    <hyperlink ref="F31" r:id="rId1" display="../../../../:b:/g/personal/robert_tekna_com_au/EeN8kGpxT79Ogy0lTrlB2pYBKl3H_K5pERPE_byPvv3xSQ?e=AMGcfS" xr:uid="{3052775A-A610-E141-8F64-ED45887CA1EC}"/>
    <hyperlink ref="A1" location="'All Companies'!A1" display="All Companies" xr:uid="{3320E12A-86CF-47E1-BF03-15746F4DE265}"/>
    <hyperlink ref="B24" r:id="rId2" xr:uid="{A0E507B2-C58F-4D76-A868-6E2575962813}"/>
  </hyperlinks>
  <pageMargins left="0.7" right="0.7" top="0.75" bottom="0.75" header="0.3" footer="0.3"/>
  <tableParts count="4">
    <tablePart r:id="rId3"/>
    <tablePart r:id="rId4"/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ECF7077-787A-482C-AC2E-888FCD65D2DC}">
          <x14:formula1>
            <xm:f>'Document Type'!$B$49:$B$51</xm:f>
          </x14:formula1>
          <xm:sqref>B10:B11</xm:sqref>
        </x14:dataValidation>
        <x14:dataValidation type="list" allowBlank="1" showInputMessage="1" showErrorMessage="1" xr:uid="{893112D6-6B15-4382-8F69-EB5E477C7BCB}">
          <x14:formula1>
            <xm:f>'Document Type'!$B$45:$B$47</xm:f>
          </x14:formula1>
          <xm:sqref>B8 F8</xm:sqref>
        </x14:dataValidation>
        <x14:dataValidation type="list" allowBlank="1" showInputMessage="1" showErrorMessage="1" xr:uid="{29F13362-6E65-41ED-BDD9-D487A3D00A8D}">
          <x14:formula1>
            <xm:f>'Document Type'!$B$38:$B$39</xm:f>
          </x14:formula1>
          <xm:sqref>E15 F13 B13 F6</xm:sqref>
        </x14:dataValidation>
        <x14:dataValidation type="list" allowBlank="1" showInputMessage="1" showErrorMessage="1" xr:uid="{96B4DE56-109F-47AD-8655-B91AEE28F291}">
          <x14:formula1>
            <xm:f>'Document Type'!$B$6:$B$34</xm:f>
          </x14:formula1>
          <xm:sqref>B27:B61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974DC-448B-4453-B525-7E5DB9FEEDB8}">
  <dimension ref="A1:P121"/>
  <sheetViews>
    <sheetView workbookViewId="0">
      <selection activeCell="H35" sqref="H35"/>
    </sheetView>
  </sheetViews>
  <sheetFormatPr defaultColWidth="8.69140625" defaultRowHeight="14.6" outlineLevelRow="1"/>
  <cols>
    <col min="1" max="1" width="38.3046875" bestFit="1" customWidth="1"/>
    <col min="2" max="2" width="42.69140625" bestFit="1" customWidth="1"/>
    <col min="3" max="3" width="29.15234375" customWidth="1"/>
    <col min="4" max="4" width="18.3046875" bestFit="1" customWidth="1"/>
    <col min="5" max="5" width="28.15234375" bestFit="1" customWidth="1"/>
    <col min="6" max="6" width="46.69140625" bestFit="1" customWidth="1"/>
    <col min="7" max="7" width="36.4609375" bestFit="1" customWidth="1"/>
    <col min="8" max="8" width="17.3046875" bestFit="1" customWidth="1"/>
    <col min="9" max="9" width="20.4609375" customWidth="1"/>
    <col min="10" max="10" width="76.3046875" bestFit="1" customWidth="1"/>
    <col min="11" max="11" width="25.3046875" bestFit="1" customWidth="1"/>
  </cols>
  <sheetData>
    <row r="1" spans="1:9">
      <c r="A1" s="69" t="s">
        <v>195</v>
      </c>
    </row>
    <row r="2" spans="1:9" ht="15" thickBot="1"/>
    <row r="3" spans="1:9" ht="26.8" customHeight="1" thickBot="1">
      <c r="A3" s="373" t="s">
        <v>441</v>
      </c>
      <c r="B3" s="374"/>
      <c r="C3" s="374"/>
      <c r="D3" s="374"/>
      <c r="E3" s="374"/>
      <c r="F3" s="374"/>
      <c r="G3" s="375"/>
      <c r="I3" s="334" t="s">
        <v>442</v>
      </c>
    </row>
    <row r="4" spans="1:9" ht="17.8" customHeight="1">
      <c r="A4" s="245" t="s">
        <v>201</v>
      </c>
      <c r="B4" s="93"/>
      <c r="C4" s="273" t="s">
        <v>202</v>
      </c>
      <c r="D4" s="287" t="s">
        <v>159</v>
      </c>
      <c r="E4" s="93"/>
      <c r="F4" s="273" t="s">
        <v>203</v>
      </c>
      <c r="G4" s="287" t="s">
        <v>160</v>
      </c>
    </row>
    <row r="5" spans="1:9">
      <c r="A5" s="250" t="s">
        <v>206</v>
      </c>
      <c r="B5" s="254"/>
      <c r="C5" s="254"/>
      <c r="D5" s="256"/>
      <c r="E5" s="274" t="s">
        <v>207</v>
      </c>
      <c r="F5" s="255"/>
      <c r="G5" s="258"/>
      <c r="I5" t="s">
        <v>443</v>
      </c>
    </row>
    <row r="6" spans="1:9">
      <c r="A6" s="251" t="s">
        <v>210</v>
      </c>
      <c r="B6" s="376"/>
      <c r="C6" s="376"/>
      <c r="D6" s="232"/>
      <c r="E6" s="275" t="s">
        <v>211</v>
      </c>
      <c r="F6" s="232" t="s">
        <v>237</v>
      </c>
      <c r="G6" s="276"/>
    </row>
    <row r="7" spans="1:9">
      <c r="A7" s="250" t="s">
        <v>215</v>
      </c>
      <c r="B7" s="256"/>
      <c r="C7" s="256"/>
      <c r="D7" s="254"/>
      <c r="E7" s="256"/>
      <c r="F7" s="256"/>
      <c r="G7" s="257"/>
    </row>
    <row r="8" spans="1:9">
      <c r="A8" s="249" t="s">
        <v>218</v>
      </c>
      <c r="B8" s="232"/>
      <c r="C8" s="232"/>
      <c r="D8" s="252"/>
      <c r="E8" s="275" t="s">
        <v>220</v>
      </c>
      <c r="F8" s="232"/>
      <c r="G8" s="276"/>
    </row>
    <row r="9" spans="1:9">
      <c r="A9" s="259"/>
      <c r="B9" s="256"/>
      <c r="C9" s="256" t="s">
        <v>224</v>
      </c>
      <c r="D9" s="254"/>
      <c r="E9" s="256"/>
      <c r="F9" s="256"/>
      <c r="G9" s="257"/>
    </row>
    <row r="10" spans="1:9">
      <c r="A10" s="249" t="s">
        <v>227</v>
      </c>
      <c r="B10" s="277"/>
      <c r="C10" s="252"/>
      <c r="D10" s="232"/>
      <c r="E10" s="232"/>
      <c r="F10" s="232"/>
      <c r="G10" s="276"/>
    </row>
    <row r="11" spans="1:9">
      <c r="A11" s="250" t="s">
        <v>231</v>
      </c>
      <c r="B11" s="290"/>
      <c r="C11" s="256"/>
      <c r="D11" s="256"/>
      <c r="E11" s="256"/>
      <c r="F11" s="255"/>
      <c r="G11" s="258"/>
    </row>
    <row r="12" spans="1:9">
      <c r="A12" s="240"/>
      <c r="B12" s="232"/>
      <c r="C12" s="232"/>
      <c r="D12" s="252"/>
      <c r="E12" s="232"/>
      <c r="F12" s="232"/>
      <c r="G12" s="276"/>
    </row>
    <row r="13" spans="1:9">
      <c r="A13" s="250" t="s">
        <v>236</v>
      </c>
      <c r="B13" s="237" t="s">
        <v>212</v>
      </c>
      <c r="C13" s="256"/>
      <c r="D13" s="256"/>
      <c r="E13" s="274" t="s">
        <v>238</v>
      </c>
      <c r="F13" s="237" t="s">
        <v>212</v>
      </c>
      <c r="G13" s="256"/>
    </row>
    <row r="14" spans="1:9">
      <c r="A14" s="242"/>
      <c r="B14" s="233"/>
      <c r="C14" s="233"/>
      <c r="D14" s="275" t="s">
        <v>240</v>
      </c>
      <c r="E14" s="275" t="s">
        <v>241</v>
      </c>
      <c r="F14" s="232"/>
      <c r="G14" s="232"/>
    </row>
    <row r="15" spans="1:9">
      <c r="A15" s="250" t="s">
        <v>243</v>
      </c>
      <c r="B15" s="378"/>
      <c r="C15" s="378"/>
      <c r="D15" s="256"/>
      <c r="E15" s="256"/>
      <c r="F15" s="256"/>
      <c r="G15" s="256"/>
    </row>
    <row r="16" spans="1:9">
      <c r="A16" s="242"/>
      <c r="B16" s="233"/>
      <c r="C16" s="233"/>
      <c r="D16" s="232"/>
      <c r="E16" s="232"/>
      <c r="F16" s="232"/>
      <c r="G16" s="232"/>
    </row>
    <row r="17" spans="1:9">
      <c r="A17" s="250" t="s">
        <v>247</v>
      </c>
      <c r="B17" s="274" t="s">
        <v>248</v>
      </c>
      <c r="C17" s="274" t="s">
        <v>82</v>
      </c>
      <c r="D17" s="300" t="s">
        <v>83</v>
      </c>
      <c r="E17" s="274" t="s">
        <v>249</v>
      </c>
      <c r="F17" s="255"/>
      <c r="G17" s="255"/>
    </row>
    <row r="18" spans="1:9" ht="15.9">
      <c r="A18" s="240"/>
      <c r="B18" s="232" t="s">
        <v>254</v>
      </c>
      <c r="C18" s="232" t="s">
        <v>255</v>
      </c>
      <c r="D18" s="292">
        <v>304656703</v>
      </c>
      <c r="E18" s="302">
        <v>44137</v>
      </c>
      <c r="F18" s="232"/>
      <c r="G18" s="232"/>
    </row>
    <row r="19" spans="1:9">
      <c r="A19" s="259"/>
      <c r="B19" s="256"/>
      <c r="C19" s="256"/>
      <c r="D19" s="254"/>
      <c r="E19" s="256"/>
      <c r="F19" s="256"/>
      <c r="G19" s="256"/>
    </row>
    <row r="20" spans="1:9">
      <c r="A20" s="240"/>
      <c r="B20" s="232"/>
      <c r="C20" s="232"/>
      <c r="D20" s="252"/>
      <c r="E20" s="232"/>
      <c r="F20" s="232"/>
      <c r="G20" s="232"/>
    </row>
    <row r="21" spans="1:9">
      <c r="A21" s="259"/>
      <c r="B21" s="256"/>
      <c r="C21" s="256"/>
      <c r="D21" s="254"/>
      <c r="E21" s="256"/>
      <c r="F21" s="256"/>
      <c r="G21" s="256"/>
    </row>
    <row r="22" spans="1:9">
      <c r="A22" s="240"/>
      <c r="B22" s="232"/>
      <c r="C22" s="232"/>
      <c r="D22" s="252"/>
      <c r="E22" s="232"/>
      <c r="F22" s="232"/>
      <c r="G22" s="232"/>
    </row>
    <row r="24" spans="1:9">
      <c r="A24" t="s">
        <v>259</v>
      </c>
      <c r="B24" s="69" t="s">
        <v>161</v>
      </c>
      <c r="C24" t="s">
        <v>260</v>
      </c>
      <c r="D24" t="s">
        <v>444</v>
      </c>
    </row>
    <row r="26" spans="1:9" ht="15.9">
      <c r="A26" s="170" t="s">
        <v>262</v>
      </c>
      <c r="B26" s="170" t="s">
        <v>263</v>
      </c>
      <c r="C26" s="170" t="s">
        <v>264</v>
      </c>
      <c r="D26" s="170" t="s">
        <v>265</v>
      </c>
      <c r="E26" s="170" t="s">
        <v>266</v>
      </c>
      <c r="F26" s="170" t="s">
        <v>267</v>
      </c>
      <c r="G26" s="170" t="s">
        <v>268</v>
      </c>
      <c r="I26" s="170"/>
    </row>
    <row r="27" spans="1:9" outlineLevel="1">
      <c r="A27" s="14" t="s">
        <v>445</v>
      </c>
      <c r="B27" t="s">
        <v>258</v>
      </c>
      <c r="C27" t="str">
        <f>VLOOKUP(B27,'Document Type'!$B$6:$C$34,2,FALSE)</f>
        <v>Trust Deed</v>
      </c>
      <c r="D27" s="218">
        <v>44130</v>
      </c>
      <c r="E27" s="232" t="s">
        <v>212</v>
      </c>
      <c r="F27" s="69" t="s">
        <v>446</v>
      </c>
      <c r="G27" t="s">
        <v>148</v>
      </c>
    </row>
    <row r="28" spans="1:9" outlineLevel="1">
      <c r="A28" t="s">
        <v>447</v>
      </c>
      <c r="B28" t="s">
        <v>234</v>
      </c>
      <c r="C28" t="str">
        <f>VLOOKUP(B28,'Document Type'!$B$6:$C$34,2,FALSE)</f>
        <v>General</v>
      </c>
      <c r="D28" s="218">
        <v>45107</v>
      </c>
      <c r="E28" s="232" t="s">
        <v>212</v>
      </c>
      <c r="F28" t="s">
        <v>447</v>
      </c>
      <c r="G28" t="s">
        <v>148</v>
      </c>
    </row>
    <row r="29" spans="1:9" ht="15" customHeight="1" outlineLevel="1">
      <c r="A29" t="s">
        <v>448</v>
      </c>
      <c r="B29" t="s">
        <v>234</v>
      </c>
      <c r="C29" t="str">
        <f>VLOOKUP(B29,'Document Type'!$B$6:$C$34,2,FALSE)</f>
        <v>General</v>
      </c>
      <c r="D29" s="218">
        <v>45111</v>
      </c>
      <c r="E29" s="232" t="s">
        <v>212</v>
      </c>
      <c r="F29" t="s">
        <v>449</v>
      </c>
      <c r="G29" t="s">
        <v>148</v>
      </c>
    </row>
    <row r="30" spans="1:9" outlineLevel="1">
      <c r="A30" t="s">
        <v>450</v>
      </c>
      <c r="B30" t="s">
        <v>204</v>
      </c>
      <c r="C30" t="str">
        <f>VLOOKUP(B30,'Document Type'!$B$6:$C$34,2,FALSE)</f>
        <v>Company Setup</v>
      </c>
      <c r="D30" s="218">
        <v>44127</v>
      </c>
      <c r="E30" s="232" t="s">
        <v>212</v>
      </c>
      <c r="F30" t="s">
        <v>451</v>
      </c>
      <c r="G30" t="s">
        <v>148</v>
      </c>
    </row>
    <row r="31" spans="1:9" outlineLevel="1">
      <c r="A31" t="s">
        <v>452</v>
      </c>
      <c r="B31" t="s">
        <v>204</v>
      </c>
      <c r="C31" t="str">
        <f>VLOOKUP(B31,'Document Type'!$B$6:$C$34,2,FALSE)</f>
        <v>Company Setup</v>
      </c>
      <c r="D31" s="218">
        <v>44127</v>
      </c>
      <c r="F31" t="s">
        <v>453</v>
      </c>
      <c r="G31" t="s">
        <v>148</v>
      </c>
    </row>
    <row r="32" spans="1:9" outlineLevel="1">
      <c r="A32" t="s">
        <v>245</v>
      </c>
      <c r="B32" t="s">
        <v>245</v>
      </c>
      <c r="C32" t="str">
        <f>VLOOKUP(B32,'Document Type'!$B$6:$C$34,2,FALSE)</f>
        <v>General</v>
      </c>
      <c r="D32" s="218">
        <v>45884</v>
      </c>
      <c r="E32" s="232" t="s">
        <v>212</v>
      </c>
      <c r="F32" t="s">
        <v>1377</v>
      </c>
      <c r="G32" t="s">
        <v>148</v>
      </c>
    </row>
    <row r="33" spans="1:7" outlineLevel="1">
      <c r="A33" t="s">
        <v>245</v>
      </c>
      <c r="B33" t="s">
        <v>245</v>
      </c>
      <c r="C33" t="str">
        <f>VLOOKUP(B33,'Document Type'!$B$6:$C$34,2,FALSE)</f>
        <v>General</v>
      </c>
      <c r="D33" s="218">
        <v>45884</v>
      </c>
      <c r="E33" s="232" t="s">
        <v>212</v>
      </c>
      <c r="F33" t="s">
        <v>1378</v>
      </c>
      <c r="G33" t="s">
        <v>148</v>
      </c>
    </row>
    <row r="34" spans="1:7" outlineLevel="1">
      <c r="A34" t="s">
        <v>245</v>
      </c>
      <c r="B34" t="s">
        <v>245</v>
      </c>
      <c r="C34" t="str">
        <f>VLOOKUP(B34,'Document Type'!$B$6:$C$34,2,FALSE)</f>
        <v>General</v>
      </c>
      <c r="D34" s="218">
        <v>45884</v>
      </c>
      <c r="E34" s="232" t="s">
        <v>212</v>
      </c>
      <c r="F34" t="s">
        <v>1379</v>
      </c>
      <c r="G34" t="s">
        <v>148</v>
      </c>
    </row>
    <row r="35" spans="1:7" outlineLevel="1">
      <c r="A35" t="s">
        <v>245</v>
      </c>
      <c r="B35" t="s">
        <v>245</v>
      </c>
      <c r="C35" t="str">
        <f>VLOOKUP(B35,'Document Type'!$B$6:$C$34,2,FALSE)</f>
        <v>General</v>
      </c>
      <c r="D35" s="218">
        <v>45884</v>
      </c>
      <c r="E35" s="232" t="s">
        <v>212</v>
      </c>
      <c r="F35" t="s">
        <v>1388</v>
      </c>
      <c r="G35" t="s">
        <v>148</v>
      </c>
    </row>
    <row r="36" spans="1:7" outlineLevel="1">
      <c r="A36" t="s">
        <v>245</v>
      </c>
      <c r="B36" t="s">
        <v>245</v>
      </c>
      <c r="C36" t="str">
        <f>VLOOKUP(B36,'Document Type'!$B$6:$C$34,2,FALSE)</f>
        <v>General</v>
      </c>
      <c r="D36" s="218">
        <v>45884</v>
      </c>
      <c r="E36" s="232" t="s">
        <v>212</v>
      </c>
      <c r="F36" t="s">
        <v>1387</v>
      </c>
      <c r="G36" t="s">
        <v>148</v>
      </c>
    </row>
    <row r="37" spans="1:7" outlineLevel="1">
      <c r="C37" t="e">
        <f>VLOOKUP(B37,'Document Type'!$B$6:$C$34,2,FALSE)</f>
        <v>#N/A</v>
      </c>
      <c r="E37" s="232" t="s">
        <v>212</v>
      </c>
    </row>
    <row r="38" spans="1:7" outlineLevel="1">
      <c r="C38" t="e">
        <f>VLOOKUP(B38,'Document Type'!$B$6:$C$34,2,FALSE)</f>
        <v>#N/A</v>
      </c>
      <c r="E38" s="232" t="s">
        <v>212</v>
      </c>
    </row>
    <row r="39" spans="1:7" outlineLevel="1">
      <c r="C39" t="e">
        <f>VLOOKUP(B39,'Document Type'!$B$6:$C$34,2,FALSE)</f>
        <v>#N/A</v>
      </c>
      <c r="E39" s="232" t="s">
        <v>212</v>
      </c>
    </row>
    <row r="40" spans="1:7" outlineLevel="1">
      <c r="C40" t="e">
        <f>VLOOKUP(B40,'Document Type'!$B$6:$C$34,2,FALSE)</f>
        <v>#N/A</v>
      </c>
      <c r="E40" s="232" t="s">
        <v>212</v>
      </c>
    </row>
    <row r="41" spans="1:7" outlineLevel="1">
      <c r="C41" t="e">
        <f>VLOOKUP(B41,'Document Type'!$B$6:$C$34,2,FALSE)</f>
        <v>#N/A</v>
      </c>
      <c r="E41" s="232" t="s">
        <v>212</v>
      </c>
    </row>
    <row r="42" spans="1:7" outlineLevel="1">
      <c r="C42" t="e">
        <f>VLOOKUP(B42,'Document Type'!$B$6:$C$34,2,FALSE)</f>
        <v>#N/A</v>
      </c>
      <c r="E42" s="232" t="s">
        <v>212</v>
      </c>
    </row>
    <row r="43" spans="1:7" outlineLevel="1">
      <c r="C43" t="e">
        <f>VLOOKUP(B43,'Document Type'!$B$6:$C$34,2,FALSE)</f>
        <v>#N/A</v>
      </c>
      <c r="E43" s="232" t="s">
        <v>212</v>
      </c>
    </row>
    <row r="44" spans="1:7" outlineLevel="1">
      <c r="C44" t="e">
        <f>VLOOKUP(B44,'Document Type'!$B$6:$C$34,2,FALSE)</f>
        <v>#N/A</v>
      </c>
      <c r="E44" s="232" t="s">
        <v>212</v>
      </c>
    </row>
    <row r="45" spans="1:7" outlineLevel="1">
      <c r="C45" t="e">
        <f>VLOOKUP(B45,'Document Type'!$B$6:$C$34,2,FALSE)</f>
        <v>#N/A</v>
      </c>
      <c r="E45" s="232" t="s">
        <v>212</v>
      </c>
    </row>
    <row r="46" spans="1:7" outlineLevel="1">
      <c r="C46" t="e">
        <f>VLOOKUP(B46,'Document Type'!$B$6:$C$34,2,FALSE)</f>
        <v>#N/A</v>
      </c>
      <c r="E46" s="232" t="s">
        <v>212</v>
      </c>
    </row>
    <row r="47" spans="1:7" outlineLevel="1">
      <c r="C47" t="e">
        <f>VLOOKUP(B47,'Document Type'!$B$6:$C$34,2,FALSE)</f>
        <v>#N/A</v>
      </c>
      <c r="E47" s="232" t="s">
        <v>212</v>
      </c>
    </row>
    <row r="48" spans="1:7" outlineLevel="1">
      <c r="C48" t="e">
        <f>VLOOKUP(B48,'Document Type'!$B$6:$C$34,2,FALSE)</f>
        <v>#N/A</v>
      </c>
      <c r="E48" s="232" t="s">
        <v>212</v>
      </c>
    </row>
    <row r="49" spans="1:5" outlineLevel="1">
      <c r="C49" t="e">
        <f>VLOOKUP(B49,'Document Type'!$B$6:$C$34,2,FALSE)</f>
        <v>#N/A</v>
      </c>
      <c r="E49" s="232" t="s">
        <v>212</v>
      </c>
    </row>
    <row r="50" spans="1:5" outlineLevel="1">
      <c r="C50" t="e">
        <f>VLOOKUP(B50,'Document Type'!$B$6:$C$34,2,FALSE)</f>
        <v>#N/A</v>
      </c>
      <c r="E50" s="232" t="s">
        <v>212</v>
      </c>
    </row>
    <row r="51" spans="1:5" outlineLevel="1">
      <c r="C51" t="e">
        <f>VLOOKUP(B51,'Document Type'!$B$6:$C$34,2,FALSE)</f>
        <v>#N/A</v>
      </c>
      <c r="E51" s="232" t="s">
        <v>212</v>
      </c>
    </row>
    <row r="52" spans="1:5" outlineLevel="1">
      <c r="C52" t="e">
        <f>VLOOKUP(B52,'Document Type'!$B$6:$C$34,2,FALSE)</f>
        <v>#N/A</v>
      </c>
      <c r="E52" s="232" t="s">
        <v>212</v>
      </c>
    </row>
    <row r="53" spans="1:5" outlineLevel="1">
      <c r="C53" t="e">
        <f>VLOOKUP(B53,'Document Type'!$B$6:$C$34,2,FALSE)</f>
        <v>#N/A</v>
      </c>
      <c r="E53" s="232" t="s">
        <v>212</v>
      </c>
    </row>
    <row r="54" spans="1:5" outlineLevel="1">
      <c r="C54" t="e">
        <f>VLOOKUP(B54,'Document Type'!$B$6:$C$34,2,FALSE)</f>
        <v>#N/A</v>
      </c>
      <c r="E54" s="232" t="s">
        <v>212</v>
      </c>
    </row>
    <row r="55" spans="1:5" outlineLevel="1">
      <c r="C55" t="e">
        <f>VLOOKUP(B55,'Document Type'!$B$6:$C$34,2,FALSE)</f>
        <v>#N/A</v>
      </c>
      <c r="E55" s="232" t="s">
        <v>212</v>
      </c>
    </row>
    <row r="56" spans="1:5" outlineLevel="1">
      <c r="C56" t="e">
        <f>VLOOKUP(B56,'Document Type'!$B$6:$C$34,2,FALSE)</f>
        <v>#N/A</v>
      </c>
      <c r="E56" s="232" t="s">
        <v>212</v>
      </c>
    </row>
    <row r="57" spans="1:5" outlineLevel="1">
      <c r="C57" t="e">
        <f>VLOOKUP(B57,'Document Type'!$B$6:$C$34,2,FALSE)</f>
        <v>#N/A</v>
      </c>
      <c r="E57" s="232" t="s">
        <v>212</v>
      </c>
    </row>
    <row r="58" spans="1:5" outlineLevel="1">
      <c r="C58" t="e">
        <f>VLOOKUP(B58,'Document Type'!$B$6:$C$34,2,FALSE)</f>
        <v>#N/A</v>
      </c>
      <c r="E58" s="232" t="s">
        <v>212</v>
      </c>
    </row>
    <row r="59" spans="1:5" outlineLevel="1">
      <c r="C59" t="e">
        <f>VLOOKUP(B59,'Document Type'!$B$6:$C$34,2,FALSE)</f>
        <v>#N/A</v>
      </c>
      <c r="E59" s="232" t="s">
        <v>212</v>
      </c>
    </row>
    <row r="60" spans="1:5" outlineLevel="1">
      <c r="C60" t="e">
        <f>VLOOKUP(B60,'Document Type'!$B$6:$C$34,2,FALSE)</f>
        <v>#N/A</v>
      </c>
      <c r="E60" s="232" t="s">
        <v>212</v>
      </c>
    </row>
    <row r="61" spans="1:5" outlineLevel="1">
      <c r="C61" t="e">
        <f>VLOOKUP(B61,'Document Type'!$B$6:$C$34,2,FALSE)</f>
        <v>#N/A</v>
      </c>
      <c r="E61" s="232" t="s">
        <v>212</v>
      </c>
    </row>
    <row r="64" spans="1:5" ht="15.9">
      <c r="A64" s="170" t="s">
        <v>289</v>
      </c>
    </row>
    <row r="65" spans="1:16">
      <c r="A65" s="232" t="s">
        <v>265</v>
      </c>
      <c r="B65" s="232" t="s">
        <v>290</v>
      </c>
      <c r="C65" s="232" t="s">
        <v>291</v>
      </c>
      <c r="D65" s="252" t="s">
        <v>292</v>
      </c>
      <c r="E65" s="232" t="s">
        <v>293</v>
      </c>
      <c r="F65" s="232" t="s">
        <v>294</v>
      </c>
      <c r="G65" s="276" t="s">
        <v>295</v>
      </c>
      <c r="H65" s="191" t="s">
        <v>296</v>
      </c>
      <c r="I65" s="209" t="s">
        <v>297</v>
      </c>
      <c r="J65" s="93" t="s">
        <v>298</v>
      </c>
      <c r="K65" s="93" t="s">
        <v>299</v>
      </c>
      <c r="L65" s="93" t="s">
        <v>300</v>
      </c>
      <c r="M65" s="209" t="s">
        <v>301</v>
      </c>
      <c r="N65" s="93" t="s">
        <v>302</v>
      </c>
      <c r="O65" s="93" t="s">
        <v>303</v>
      </c>
      <c r="P65" s="93" t="s">
        <v>304</v>
      </c>
    </row>
    <row r="66" spans="1:16" hidden="1" outlineLevel="1">
      <c r="A66" s="140"/>
      <c r="B66" s="93"/>
      <c r="C66" s="93"/>
      <c r="D66" s="93"/>
      <c r="E66" s="93"/>
      <c r="F66" s="93"/>
      <c r="G66" s="93"/>
      <c r="H66" s="93"/>
      <c r="I66" s="209"/>
      <c r="J66" s="93"/>
      <c r="K66" s="93"/>
      <c r="L66" s="93"/>
      <c r="M66" s="209"/>
      <c r="N66" s="93"/>
      <c r="O66" s="93"/>
      <c r="P66" s="93"/>
    </row>
    <row r="67" spans="1:16" hidden="1" outlineLevel="1">
      <c r="A67" s="140"/>
      <c r="B67" s="93"/>
      <c r="C67" s="93"/>
      <c r="D67" s="93"/>
      <c r="E67" s="93"/>
      <c r="F67" s="93"/>
      <c r="G67" s="93"/>
      <c r="H67" s="93"/>
      <c r="I67" s="209"/>
      <c r="J67" s="93"/>
      <c r="K67" s="93"/>
      <c r="L67" s="93"/>
      <c r="M67" s="209"/>
      <c r="N67" s="93"/>
      <c r="O67" s="93"/>
      <c r="P67" s="93"/>
    </row>
    <row r="68" spans="1:16" hidden="1" outlineLevel="1">
      <c r="A68" s="140"/>
      <c r="B68" s="93"/>
      <c r="C68" s="93"/>
      <c r="D68" s="93"/>
      <c r="E68" s="93"/>
      <c r="F68" s="93"/>
      <c r="G68" s="93"/>
      <c r="H68" s="93"/>
      <c r="I68" s="209"/>
      <c r="J68" s="93"/>
      <c r="K68" s="93"/>
      <c r="L68" s="93"/>
      <c r="M68" s="209"/>
      <c r="N68" s="93"/>
      <c r="O68" s="93"/>
      <c r="P68" s="93"/>
    </row>
    <row r="69" spans="1:16" hidden="1" outlineLevel="1">
      <c r="A69" s="140"/>
      <c r="B69" s="93"/>
      <c r="C69" s="93"/>
      <c r="D69" s="93"/>
      <c r="E69" s="93"/>
      <c r="F69" s="93"/>
      <c r="G69" s="93"/>
      <c r="H69" s="93"/>
      <c r="I69" s="209"/>
      <c r="J69" s="93"/>
      <c r="K69" s="93"/>
      <c r="L69" s="93"/>
      <c r="M69" s="209"/>
      <c r="N69" s="93"/>
      <c r="O69" s="93"/>
      <c r="P69" s="93"/>
    </row>
    <row r="70" spans="1:16" hidden="1" outlineLevel="1">
      <c r="A70" s="140"/>
      <c r="B70" s="93"/>
      <c r="C70" s="93"/>
      <c r="D70" s="93"/>
      <c r="E70" s="93"/>
      <c r="F70" s="93"/>
      <c r="G70" s="93"/>
      <c r="H70" s="93"/>
      <c r="I70" s="209"/>
      <c r="J70" s="93"/>
      <c r="K70" s="93"/>
      <c r="L70" s="93"/>
      <c r="M70" s="209"/>
      <c r="N70" s="93"/>
      <c r="O70" s="93"/>
      <c r="P70" s="93"/>
    </row>
    <row r="71" spans="1:16" hidden="1" outlineLevel="1">
      <c r="A71" s="140"/>
      <c r="B71" s="93"/>
      <c r="C71" s="93"/>
      <c r="D71" s="93"/>
      <c r="E71" s="93"/>
      <c r="F71" s="93"/>
      <c r="G71" s="93"/>
      <c r="H71" s="93"/>
      <c r="I71" s="209"/>
      <c r="J71" s="93"/>
      <c r="K71" s="93"/>
      <c r="L71" s="93"/>
      <c r="M71" s="209"/>
      <c r="N71" s="93"/>
      <c r="O71" s="93"/>
      <c r="P71" s="93"/>
    </row>
    <row r="72" spans="1:16" hidden="1" outlineLevel="1">
      <c r="A72" s="140"/>
      <c r="B72" s="93"/>
      <c r="C72" s="93"/>
      <c r="D72" s="93"/>
      <c r="E72" s="93"/>
      <c r="F72" s="93"/>
      <c r="G72" s="93"/>
      <c r="H72" s="93"/>
      <c r="I72" s="209"/>
      <c r="J72" s="93"/>
      <c r="K72" s="93"/>
      <c r="L72" s="93"/>
      <c r="M72" s="209"/>
      <c r="N72" s="93"/>
      <c r="O72" s="93"/>
      <c r="P72" s="93"/>
    </row>
    <row r="73" spans="1:16" hidden="1" outlineLevel="1">
      <c r="A73" s="140"/>
      <c r="B73" s="93"/>
      <c r="C73" s="93"/>
      <c r="D73" s="93"/>
      <c r="E73" s="93"/>
      <c r="F73" s="93"/>
      <c r="G73" s="93"/>
      <c r="H73" s="93"/>
      <c r="I73" s="209"/>
      <c r="J73" s="93"/>
      <c r="K73" s="93"/>
      <c r="L73" s="93"/>
      <c r="M73" s="209"/>
      <c r="N73" s="93"/>
      <c r="O73" s="93"/>
      <c r="P73" s="93"/>
    </row>
    <row r="74" spans="1:16" hidden="1" outlineLevel="1">
      <c r="A74" s="140"/>
      <c r="B74" s="93"/>
      <c r="C74" s="93"/>
      <c r="D74" s="93"/>
      <c r="E74" s="93"/>
      <c r="F74" s="93"/>
      <c r="G74" s="93"/>
      <c r="H74" s="93"/>
      <c r="I74" s="209"/>
      <c r="J74" s="93"/>
      <c r="K74" s="93"/>
      <c r="L74" s="93"/>
      <c r="M74" s="209"/>
      <c r="N74" s="93"/>
      <c r="O74" s="93"/>
      <c r="P74" s="93"/>
    </row>
    <row r="75" spans="1:16" hidden="1" outlineLevel="1">
      <c r="A75" s="140"/>
      <c r="B75" s="93"/>
      <c r="C75" s="93"/>
      <c r="D75" s="93"/>
      <c r="E75" s="93"/>
      <c r="F75" s="93"/>
      <c r="G75" s="93"/>
      <c r="H75" s="93"/>
      <c r="I75" s="209"/>
      <c r="J75" s="93"/>
      <c r="K75" s="93"/>
      <c r="L75" s="93"/>
      <c r="M75" s="209"/>
      <c r="N75" s="93"/>
      <c r="O75" s="93"/>
      <c r="P75" s="93"/>
    </row>
    <row r="76" spans="1:16" hidden="1" outlineLevel="1">
      <c r="A76" s="140"/>
      <c r="B76" s="93"/>
      <c r="C76" s="93"/>
      <c r="D76" s="93"/>
      <c r="E76" s="93"/>
      <c r="F76" s="93"/>
      <c r="G76" s="93"/>
      <c r="H76" s="93"/>
      <c r="I76" s="209"/>
      <c r="J76" s="93"/>
      <c r="K76" s="93"/>
      <c r="L76" s="93"/>
      <c r="M76" s="209"/>
      <c r="N76" s="93"/>
      <c r="O76" s="93"/>
      <c r="P76" s="93"/>
    </row>
    <row r="77" spans="1:16" hidden="1" outlineLevel="1">
      <c r="A77" s="140"/>
      <c r="B77" s="93"/>
      <c r="C77" s="93"/>
      <c r="D77" s="93"/>
      <c r="E77" s="93"/>
      <c r="F77" s="93"/>
      <c r="G77" s="93"/>
      <c r="H77" s="93"/>
      <c r="I77" s="209"/>
      <c r="J77" s="93"/>
      <c r="K77" s="93"/>
      <c r="L77" s="93"/>
      <c r="M77" s="209"/>
      <c r="N77" s="93"/>
      <c r="O77" s="93"/>
      <c r="P77" s="93"/>
    </row>
    <row r="78" spans="1:16" hidden="1" outlineLevel="1">
      <c r="A78" s="140"/>
      <c r="B78" s="93"/>
      <c r="C78" s="93"/>
      <c r="D78" s="93"/>
      <c r="E78" s="93"/>
      <c r="F78" s="93"/>
      <c r="G78" s="93"/>
      <c r="H78" s="93"/>
      <c r="I78" s="209"/>
      <c r="J78" s="93"/>
      <c r="K78" s="93"/>
      <c r="L78" s="93"/>
      <c r="M78" s="209"/>
      <c r="N78" s="93"/>
      <c r="O78" s="93"/>
      <c r="P78" s="93"/>
    </row>
    <row r="79" spans="1:16" hidden="1" outlineLevel="1">
      <c r="A79" s="140"/>
      <c r="B79" s="93"/>
      <c r="C79" s="93"/>
      <c r="D79" s="93"/>
      <c r="E79" s="93"/>
      <c r="F79" s="93"/>
      <c r="G79" s="93"/>
      <c r="H79" s="93"/>
      <c r="I79" s="209"/>
      <c r="J79" s="93"/>
      <c r="K79" s="93"/>
      <c r="L79" s="93"/>
      <c r="M79" s="209"/>
      <c r="N79" s="93"/>
      <c r="O79" s="93"/>
      <c r="P79" s="93"/>
    </row>
    <row r="80" spans="1:16" hidden="1" outlineLevel="1">
      <c r="A80" s="140"/>
      <c r="B80" s="93"/>
      <c r="C80" s="93"/>
      <c r="D80" s="93"/>
      <c r="E80" s="93"/>
      <c r="F80" s="93"/>
      <c r="G80" s="93"/>
      <c r="H80" s="93"/>
      <c r="I80" s="209"/>
      <c r="J80" s="93"/>
      <c r="K80" s="93"/>
      <c r="L80" s="93"/>
      <c r="M80" s="209"/>
      <c r="N80" s="93"/>
      <c r="O80" s="93"/>
      <c r="P80" s="93"/>
    </row>
    <row r="81" spans="1:16" hidden="1" outlineLevel="1">
      <c r="A81" s="140"/>
      <c r="B81" s="93"/>
      <c r="C81" s="93"/>
      <c r="D81" s="93"/>
      <c r="E81" s="93"/>
      <c r="F81" s="93"/>
      <c r="G81" s="93"/>
      <c r="H81" s="93"/>
      <c r="I81" s="209"/>
      <c r="J81" s="93"/>
      <c r="K81" s="93"/>
      <c r="L81" s="93"/>
      <c r="M81" s="209"/>
      <c r="N81" s="93"/>
      <c r="O81" s="93"/>
      <c r="P81" s="93"/>
    </row>
    <row r="82" spans="1:16" hidden="1" outlineLevel="1">
      <c r="A82" s="140"/>
      <c r="B82" s="93"/>
      <c r="C82" s="93"/>
      <c r="D82" s="93"/>
      <c r="E82" s="93"/>
      <c r="F82" s="93"/>
      <c r="G82" s="93"/>
      <c r="H82" s="93"/>
      <c r="I82" s="209"/>
      <c r="J82" s="93"/>
      <c r="K82" s="93"/>
      <c r="L82" s="93"/>
      <c r="M82" s="209"/>
      <c r="N82" s="93"/>
      <c r="O82" s="93"/>
      <c r="P82" s="93"/>
    </row>
    <row r="83" spans="1:16" hidden="1" outlineLevel="1">
      <c r="A83" s="140"/>
      <c r="B83" s="93"/>
      <c r="C83" s="93"/>
      <c r="D83" s="93"/>
      <c r="E83" s="93"/>
      <c r="F83" s="93"/>
      <c r="G83" s="93"/>
      <c r="H83" s="93"/>
      <c r="I83" s="209"/>
      <c r="J83" s="93"/>
      <c r="K83" s="93"/>
      <c r="L83" s="93"/>
      <c r="M83" s="209"/>
      <c r="N83" s="93"/>
      <c r="O83" s="93"/>
      <c r="P83" s="93"/>
    </row>
    <row r="84" spans="1:16" hidden="1" outlineLevel="1">
      <c r="A84" s="93"/>
      <c r="B84" s="93"/>
      <c r="C84" s="93"/>
      <c r="D84" s="93"/>
      <c r="E84" s="93"/>
      <c r="F84" s="93"/>
      <c r="G84" s="93"/>
      <c r="H84" s="93"/>
      <c r="I84" s="209"/>
      <c r="J84" s="93"/>
      <c r="K84" s="93"/>
      <c r="L84" s="93"/>
      <c r="M84" s="209"/>
      <c r="N84" s="93"/>
      <c r="O84" s="93"/>
      <c r="P84" s="93"/>
    </row>
    <row r="85" spans="1:16" hidden="1" outlineLevel="1">
      <c r="A85" s="93"/>
      <c r="B85" s="93"/>
      <c r="C85" s="93"/>
      <c r="D85" s="93"/>
      <c r="E85" s="93"/>
      <c r="F85" s="93"/>
      <c r="G85" s="93"/>
      <c r="H85" s="93"/>
      <c r="I85" s="209"/>
      <c r="J85" s="93"/>
      <c r="K85" s="93"/>
      <c r="L85" s="93"/>
      <c r="M85" s="209"/>
      <c r="N85" s="93"/>
      <c r="O85" s="93"/>
      <c r="P85" s="93"/>
    </row>
    <row r="86" spans="1:16" hidden="1" outlineLevel="1">
      <c r="A86" s="93"/>
      <c r="B86" s="93"/>
      <c r="C86" s="93"/>
      <c r="D86" s="93"/>
      <c r="E86" s="93"/>
      <c r="F86" s="93"/>
      <c r="G86" s="93"/>
      <c r="H86" s="93"/>
      <c r="I86" s="209"/>
      <c r="J86" s="93"/>
      <c r="K86" s="93"/>
      <c r="L86" s="93"/>
      <c r="M86" s="209"/>
      <c r="N86" s="93"/>
      <c r="O86" s="93"/>
      <c r="P86" s="93"/>
    </row>
    <row r="87" spans="1:16" hidden="1" outlineLevel="1">
      <c r="A87" s="93"/>
      <c r="B87" s="93"/>
      <c r="C87" s="93"/>
      <c r="D87" s="93"/>
      <c r="E87" s="93"/>
      <c r="F87" s="93"/>
      <c r="G87" s="93"/>
      <c r="H87" s="93"/>
      <c r="I87" s="209"/>
      <c r="J87" s="93"/>
      <c r="K87" s="93"/>
      <c r="L87" s="93"/>
      <c r="M87" s="209"/>
      <c r="N87" s="93"/>
      <c r="O87" s="93"/>
      <c r="P87" s="93"/>
    </row>
    <row r="88" spans="1:16" hidden="1" outlineLevel="1">
      <c r="A88" s="93"/>
      <c r="B88" s="93"/>
      <c r="C88" s="93"/>
      <c r="D88" s="93"/>
      <c r="E88" s="93"/>
      <c r="F88" s="93"/>
      <c r="G88" s="93"/>
      <c r="H88" s="93"/>
      <c r="I88" s="209"/>
      <c r="J88" s="93"/>
      <c r="K88" s="93"/>
      <c r="L88" s="93"/>
      <c r="M88" s="209"/>
      <c r="N88" s="93"/>
      <c r="O88" s="93"/>
      <c r="P88" s="93"/>
    </row>
    <row r="89" spans="1:16" hidden="1" outlineLevel="1">
      <c r="A89" s="93"/>
      <c r="B89" s="93"/>
      <c r="C89" s="93"/>
      <c r="D89" s="93"/>
      <c r="E89" s="93"/>
      <c r="F89" s="93"/>
      <c r="G89" s="93"/>
      <c r="H89" s="93"/>
      <c r="I89" s="209"/>
      <c r="J89" s="93"/>
      <c r="K89" s="93"/>
      <c r="L89" s="93"/>
      <c r="M89" s="209"/>
      <c r="N89" s="93"/>
      <c r="O89" s="93"/>
      <c r="P89" s="93"/>
    </row>
    <row r="90" spans="1:16" hidden="1" outlineLevel="1">
      <c r="A90" s="93"/>
      <c r="B90" s="93"/>
      <c r="C90" s="93"/>
      <c r="D90" s="93"/>
      <c r="E90" s="93"/>
      <c r="F90" s="93"/>
      <c r="G90" s="93"/>
      <c r="H90" s="93"/>
      <c r="I90" s="209"/>
      <c r="J90" s="93"/>
      <c r="K90" s="93"/>
      <c r="L90" s="93"/>
      <c r="M90" s="209"/>
      <c r="N90" s="93"/>
      <c r="O90" s="93"/>
      <c r="P90" s="93"/>
    </row>
    <row r="91" spans="1:16" hidden="1" outlineLevel="1">
      <c r="A91" s="93"/>
      <c r="B91" s="93"/>
      <c r="C91" s="93"/>
      <c r="D91" s="93"/>
      <c r="E91" s="93"/>
      <c r="F91" s="93"/>
      <c r="G91" s="93"/>
      <c r="H91" s="93"/>
      <c r="I91" s="209"/>
      <c r="J91" s="93"/>
      <c r="K91" s="93"/>
      <c r="L91" s="93"/>
      <c r="M91" s="209"/>
      <c r="N91" s="93"/>
      <c r="O91" s="93"/>
      <c r="P91" s="93"/>
    </row>
    <row r="92" spans="1:16" collapsed="1"/>
    <row r="93" spans="1:16" ht="15.9">
      <c r="A93" s="170" t="s">
        <v>305</v>
      </c>
    </row>
    <row r="94" spans="1:16">
      <c r="A94" t="s">
        <v>224</v>
      </c>
      <c r="B94" t="s">
        <v>306</v>
      </c>
      <c r="C94" t="s">
        <v>307</v>
      </c>
      <c r="D94" t="s">
        <v>265</v>
      </c>
      <c r="E94" t="s">
        <v>308</v>
      </c>
      <c r="F94" t="s">
        <v>256</v>
      </c>
    </row>
    <row r="95" spans="1:16" hidden="1" outlineLevel="1">
      <c r="C95" s="112"/>
      <c r="D95" s="218"/>
    </row>
    <row r="96" spans="1:16" hidden="1" outlineLevel="1">
      <c r="C96" s="112"/>
      <c r="D96" s="218"/>
    </row>
    <row r="97" spans="1:6" hidden="1" outlineLevel="1">
      <c r="C97" s="112"/>
      <c r="D97" s="218"/>
    </row>
    <row r="98" spans="1:6" hidden="1" outlineLevel="1">
      <c r="C98" s="112"/>
      <c r="D98" s="218"/>
    </row>
    <row r="99" spans="1:6" hidden="1" outlineLevel="1">
      <c r="C99" s="112"/>
    </row>
    <row r="100" spans="1:6" hidden="1" outlineLevel="1">
      <c r="C100" s="112"/>
    </row>
    <row r="101" spans="1:6" collapsed="1"/>
    <row r="102" spans="1:6" ht="15.9">
      <c r="A102" s="170" t="s">
        <v>309</v>
      </c>
    </row>
    <row r="103" spans="1:6">
      <c r="A103" t="s">
        <v>310</v>
      </c>
      <c r="B103" t="s">
        <v>311</v>
      </c>
      <c r="C103" t="s">
        <v>312</v>
      </c>
      <c r="D103" t="s">
        <v>313</v>
      </c>
      <c r="E103" t="s">
        <v>314</v>
      </c>
      <c r="F103" t="s">
        <v>315</v>
      </c>
    </row>
    <row r="104" spans="1:6" outlineLevel="1">
      <c r="F104">
        <f>Table791318[[#This Row],[Purchase Price]]-Table791318[[#This Row],[Sale Price]]</f>
        <v>0</v>
      </c>
    </row>
    <row r="105" spans="1:6" outlineLevel="1">
      <c r="F105">
        <f>Table791318[[#This Row],[Purchase Price]]-Table791318[[#This Row],[Sale Price]]</f>
        <v>0</v>
      </c>
    </row>
    <row r="106" spans="1:6" outlineLevel="1">
      <c r="F106">
        <f>Table791318[[#This Row],[Purchase Price]]-Table791318[[#This Row],[Sale Price]]</f>
        <v>0</v>
      </c>
    </row>
    <row r="107" spans="1:6" outlineLevel="1">
      <c r="F107">
        <f>Table791318[[#This Row],[Purchase Price]]-Table791318[[#This Row],[Sale Price]]</f>
        <v>0</v>
      </c>
    </row>
    <row r="108" spans="1:6" outlineLevel="1">
      <c r="F108">
        <f>Table791318[[#This Row],[Purchase Price]]-Table791318[[#This Row],[Sale Price]]</f>
        <v>0</v>
      </c>
    </row>
    <row r="109" spans="1:6" outlineLevel="1">
      <c r="F109">
        <f>Table791318[[#This Row],[Purchase Price]]-Table791318[[#This Row],[Sale Price]]</f>
        <v>0</v>
      </c>
    </row>
    <row r="110" spans="1:6" outlineLevel="1">
      <c r="F110">
        <f>Table791318[[#This Row],[Purchase Price]]-Table791318[[#This Row],[Sale Price]]</f>
        <v>0</v>
      </c>
    </row>
    <row r="111" spans="1:6" outlineLevel="1">
      <c r="F111">
        <f>Table791318[[#This Row],[Purchase Price]]-Table791318[[#This Row],[Sale Price]]</f>
        <v>0</v>
      </c>
    </row>
    <row r="112" spans="1:6" outlineLevel="1">
      <c r="F112">
        <f>Table791318[[#This Row],[Purchase Price]]-Table791318[[#This Row],[Sale Price]]</f>
        <v>0</v>
      </c>
    </row>
    <row r="113" spans="6:6" outlineLevel="1">
      <c r="F113">
        <f>Table791318[[#This Row],[Purchase Price]]-Table791318[[#This Row],[Sale Price]]</f>
        <v>0</v>
      </c>
    </row>
    <row r="114" spans="6:6" outlineLevel="1">
      <c r="F114">
        <f>Table791318[[#This Row],[Purchase Price]]-Table791318[[#This Row],[Sale Price]]</f>
        <v>0</v>
      </c>
    </row>
    <row r="115" spans="6:6" outlineLevel="1">
      <c r="F115">
        <f>Table791318[[#This Row],[Purchase Price]]-Table791318[[#This Row],[Sale Price]]</f>
        <v>0</v>
      </c>
    </row>
    <row r="116" spans="6:6" outlineLevel="1">
      <c r="F116">
        <f>Table791318[[#This Row],[Purchase Price]]-Table791318[[#This Row],[Sale Price]]</f>
        <v>0</v>
      </c>
    </row>
    <row r="117" spans="6:6" outlineLevel="1">
      <c r="F117">
        <f>Table791318[[#This Row],[Purchase Price]]-Table791318[[#This Row],[Sale Price]]</f>
        <v>0</v>
      </c>
    </row>
    <row r="118" spans="6:6" outlineLevel="1">
      <c r="F118">
        <f>Table791318[[#This Row],[Purchase Price]]-Table791318[[#This Row],[Sale Price]]</f>
        <v>0</v>
      </c>
    </row>
    <row r="119" spans="6:6" outlineLevel="1">
      <c r="F119">
        <f>Table791318[[#This Row],[Purchase Price]]-Table791318[[#This Row],[Sale Price]]</f>
        <v>0</v>
      </c>
    </row>
    <row r="120" spans="6:6" outlineLevel="1">
      <c r="F120">
        <f>Table791318[[#This Row],[Purchase Price]]-Table791318[[#This Row],[Sale Price]]</f>
        <v>0</v>
      </c>
    </row>
    <row r="121" spans="6:6" outlineLevel="1">
      <c r="F121">
        <f>Table791318[[#This Row],[Purchase Price]]-Table791318[[#This Row],[Sale Price]]</f>
        <v>0</v>
      </c>
    </row>
  </sheetData>
  <mergeCells count="3">
    <mergeCell ref="A3:G3"/>
    <mergeCell ref="B6:C6"/>
    <mergeCell ref="B15:C15"/>
  </mergeCells>
  <hyperlinks>
    <hyperlink ref="A1" location="'All Companies'!A1" display="All Companies" xr:uid="{1263377A-CB52-4BB1-8F15-4667696C5C90}"/>
    <hyperlink ref="B24" r:id="rId1" xr:uid="{C7F4EEEE-D5A0-2240-9E40-6301B4F57234}"/>
  </hyperlinks>
  <pageMargins left="0.7" right="0.7" top="0.75" bottom="0.75" header="0.3" footer="0.3"/>
  <tableParts count="4">
    <tablePart r:id="rId2"/>
    <tablePart r:id="rId3"/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E79B792-F36F-46EB-AF6D-A2DF3B5DEE79}">
          <x14:formula1>
            <xm:f>'Document Type'!$B$49:$B$51</xm:f>
          </x14:formula1>
          <xm:sqref>B10:B11</xm:sqref>
        </x14:dataValidation>
        <x14:dataValidation type="list" allowBlank="1" showInputMessage="1" showErrorMessage="1" xr:uid="{1900EC50-00C9-49B9-B800-3F618C692B17}">
          <x14:formula1>
            <xm:f>'Document Type'!$B$45:$B$47</xm:f>
          </x14:formula1>
          <xm:sqref>B8 F8</xm:sqref>
        </x14:dataValidation>
        <x14:dataValidation type="list" allowBlank="1" showInputMessage="1" showErrorMessage="1" xr:uid="{4EC41FE4-348E-4FFE-89BB-9ABE82824489}">
          <x14:formula1>
            <xm:f>'Document Type'!$B$38:$B$39</xm:f>
          </x14:formula1>
          <xm:sqref>E15 E32:E61 E27:E30 F13 B13 F6</xm:sqref>
        </x14:dataValidation>
        <x14:dataValidation type="list" allowBlank="1" showInputMessage="1" showErrorMessage="1" xr:uid="{4B9C7EF6-D479-47A7-9FEF-55CE698740AE}">
          <x14:formula1>
            <xm:f>'Document Type'!$B$6:$B$34</xm:f>
          </x14:formula1>
          <xm:sqref>B27:B61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58DB-5942-43F7-9336-EA17EFEAB2F4}">
  <dimension ref="A1:P121"/>
  <sheetViews>
    <sheetView tabSelected="1" workbookViewId="0">
      <selection activeCell="B4" sqref="B4"/>
    </sheetView>
  </sheetViews>
  <sheetFormatPr defaultColWidth="8.69140625" defaultRowHeight="14.6" outlineLevelRow="1"/>
  <cols>
    <col min="1" max="1" width="38.3046875" bestFit="1" customWidth="1"/>
    <col min="2" max="2" width="42.69140625" bestFit="1" customWidth="1"/>
    <col min="3" max="3" width="29.15234375" customWidth="1"/>
    <col min="4" max="4" width="21" customWidth="1"/>
    <col min="5" max="5" width="28.15234375" bestFit="1" customWidth="1"/>
    <col min="6" max="6" width="46.69140625" bestFit="1" customWidth="1"/>
    <col min="7" max="7" width="36.4609375" bestFit="1" customWidth="1"/>
    <col min="8" max="8" width="17.3046875" bestFit="1" customWidth="1"/>
    <col min="9" max="9" width="20.4609375" customWidth="1"/>
    <col min="10" max="10" width="76.3046875" bestFit="1" customWidth="1"/>
    <col min="11" max="11" width="25.3046875" bestFit="1" customWidth="1"/>
    <col min="12" max="12" width="29.69140625" bestFit="1" customWidth="1"/>
    <col min="13" max="13" width="34.15234375" bestFit="1" customWidth="1"/>
    <col min="14" max="14" width="32.3046875" bestFit="1" customWidth="1"/>
    <col min="15" max="15" width="24" bestFit="1" customWidth="1"/>
    <col min="16" max="16" width="25.69140625" bestFit="1" customWidth="1"/>
  </cols>
  <sheetData>
    <row r="1" spans="1:9">
      <c r="A1" s="69" t="s">
        <v>195</v>
      </c>
    </row>
    <row r="2" spans="1:9" ht="15" thickBot="1"/>
    <row r="3" spans="1:9" ht="26.8" customHeight="1" thickBot="1">
      <c r="A3" s="373" t="s">
        <v>454</v>
      </c>
      <c r="B3" s="374"/>
      <c r="C3" s="374"/>
      <c r="D3" s="374"/>
      <c r="E3" s="374"/>
      <c r="F3" s="374"/>
      <c r="G3" s="375"/>
      <c r="I3" s="334" t="s">
        <v>442</v>
      </c>
    </row>
    <row r="4" spans="1:9" ht="17.8" customHeight="1">
      <c r="A4" s="245" t="s">
        <v>201</v>
      </c>
      <c r="B4" s="278" t="s">
        <v>151</v>
      </c>
      <c r="C4" s="273" t="s">
        <v>202</v>
      </c>
      <c r="D4" s="93"/>
      <c r="E4" s="93"/>
      <c r="F4" s="273" t="s">
        <v>203</v>
      </c>
      <c r="G4" s="93"/>
    </row>
    <row r="5" spans="1:9">
      <c r="A5" s="250" t="s">
        <v>206</v>
      </c>
      <c r="B5" s="254">
        <v>44127</v>
      </c>
      <c r="C5" s="254"/>
      <c r="D5" s="256"/>
      <c r="E5" s="274" t="s">
        <v>207</v>
      </c>
      <c r="F5" s="255">
        <v>100</v>
      </c>
      <c r="G5" s="258"/>
      <c r="I5" t="s">
        <v>455</v>
      </c>
    </row>
    <row r="6" spans="1:9">
      <c r="A6" s="251" t="s">
        <v>210</v>
      </c>
      <c r="B6" s="376" t="s">
        <v>456</v>
      </c>
      <c r="C6" s="376"/>
      <c r="D6" s="232"/>
      <c r="E6" s="275" t="s">
        <v>211</v>
      </c>
      <c r="F6" s="232" t="s">
        <v>237</v>
      </c>
      <c r="G6" s="276"/>
    </row>
    <row r="7" spans="1:9">
      <c r="A7" s="250" t="s">
        <v>215</v>
      </c>
      <c r="B7" s="256" t="s">
        <v>157</v>
      </c>
      <c r="C7" s="256"/>
      <c r="D7" s="254"/>
      <c r="E7" s="256"/>
      <c r="F7" s="256"/>
      <c r="G7" s="257"/>
    </row>
    <row r="8" spans="1:9">
      <c r="A8" s="249" t="s">
        <v>218</v>
      </c>
      <c r="B8" s="350" t="s">
        <v>219</v>
      </c>
      <c r="C8" s="232"/>
      <c r="D8" s="252"/>
      <c r="E8" s="275" t="s">
        <v>220</v>
      </c>
      <c r="F8" s="232" t="s">
        <v>221</v>
      </c>
      <c r="G8" s="276"/>
    </row>
    <row r="9" spans="1:9">
      <c r="A9" s="259"/>
      <c r="B9" s="256"/>
      <c r="C9" s="256" t="s">
        <v>224</v>
      </c>
      <c r="D9" s="254"/>
      <c r="E9" s="256"/>
      <c r="F9" s="256"/>
      <c r="G9" s="257"/>
    </row>
    <row r="10" spans="1:9">
      <c r="A10" s="249" t="s">
        <v>227</v>
      </c>
      <c r="B10" s="277" t="s">
        <v>228</v>
      </c>
      <c r="C10" s="252">
        <v>44127</v>
      </c>
      <c r="D10" s="232"/>
      <c r="E10" s="232"/>
      <c r="F10" s="232"/>
      <c r="G10" s="276"/>
    </row>
    <row r="11" spans="1:9">
      <c r="A11" s="250" t="s">
        <v>231</v>
      </c>
      <c r="B11" s="290"/>
      <c r="C11" s="256"/>
      <c r="D11" s="256"/>
      <c r="E11" s="256"/>
      <c r="F11" s="255"/>
      <c r="G11" s="258"/>
    </row>
    <row r="12" spans="1:9">
      <c r="A12" s="240"/>
      <c r="B12" s="232"/>
      <c r="C12" s="232"/>
      <c r="D12" s="252"/>
      <c r="E12" s="232"/>
      <c r="F12" s="232"/>
      <c r="G12" s="276"/>
    </row>
    <row r="13" spans="1:9">
      <c r="A13" s="250" t="s">
        <v>236</v>
      </c>
      <c r="B13" s="237" t="s">
        <v>237</v>
      </c>
      <c r="C13" s="256"/>
      <c r="D13" s="256"/>
      <c r="E13" s="274" t="s">
        <v>238</v>
      </c>
      <c r="F13" s="237" t="s">
        <v>237</v>
      </c>
      <c r="G13" s="256"/>
    </row>
    <row r="14" spans="1:9">
      <c r="A14" s="242"/>
      <c r="B14" s="233"/>
      <c r="C14" s="233"/>
      <c r="D14" s="275" t="s">
        <v>240</v>
      </c>
      <c r="E14" s="275" t="s">
        <v>241</v>
      </c>
      <c r="F14" s="232"/>
      <c r="G14" s="232"/>
    </row>
    <row r="15" spans="1:9">
      <c r="A15" s="250" t="s">
        <v>243</v>
      </c>
      <c r="B15" s="378" t="s">
        <v>228</v>
      </c>
      <c r="C15" s="378"/>
      <c r="D15" s="256">
        <v>100</v>
      </c>
      <c r="E15" s="256" t="s">
        <v>237</v>
      </c>
      <c r="F15" s="256"/>
      <c r="G15" s="256"/>
    </row>
    <row r="16" spans="1:9">
      <c r="A16" s="242"/>
      <c r="B16" s="233"/>
      <c r="C16" s="233"/>
      <c r="D16" s="232"/>
      <c r="E16" s="232"/>
      <c r="F16" s="232"/>
      <c r="G16" s="232"/>
    </row>
    <row r="17" spans="1:7">
      <c r="A17" s="250" t="s">
        <v>247</v>
      </c>
      <c r="B17" s="274" t="s">
        <v>248</v>
      </c>
      <c r="C17" s="274" t="s">
        <v>82</v>
      </c>
      <c r="D17" s="300" t="s">
        <v>83</v>
      </c>
      <c r="E17" s="274" t="s">
        <v>249</v>
      </c>
      <c r="F17" s="255"/>
      <c r="G17" s="255"/>
    </row>
    <row r="18" spans="1:7">
      <c r="A18" s="240"/>
      <c r="B18" s="232" t="s">
        <v>251</v>
      </c>
      <c r="C18" s="232"/>
      <c r="D18" s="252"/>
      <c r="E18" s="232"/>
      <c r="F18" s="232"/>
      <c r="G18" s="232"/>
    </row>
    <row r="19" spans="1:7">
      <c r="A19" s="259"/>
      <c r="B19" s="256" t="s">
        <v>317</v>
      </c>
      <c r="C19" s="256"/>
      <c r="D19" s="254"/>
      <c r="E19" s="256"/>
      <c r="F19" s="256"/>
      <c r="G19" s="256"/>
    </row>
    <row r="20" spans="1:7">
      <c r="A20" s="240"/>
      <c r="B20" s="232"/>
      <c r="C20" s="232"/>
      <c r="D20" s="252"/>
      <c r="E20" s="232"/>
      <c r="F20" s="232"/>
      <c r="G20" s="232"/>
    </row>
    <row r="21" spans="1:7">
      <c r="A21" s="259"/>
      <c r="B21" s="256"/>
      <c r="C21" s="256"/>
      <c r="D21" s="254"/>
      <c r="E21" s="256"/>
      <c r="F21" s="256"/>
      <c r="G21" s="256"/>
    </row>
    <row r="22" spans="1:7">
      <c r="A22" s="240"/>
      <c r="B22" s="232"/>
      <c r="C22" s="232"/>
      <c r="D22" s="252"/>
      <c r="E22" s="232"/>
      <c r="F22" s="232"/>
      <c r="G22" s="232"/>
    </row>
    <row r="24" spans="1:7">
      <c r="A24" t="s">
        <v>259</v>
      </c>
      <c r="B24" t="s">
        <v>106</v>
      </c>
      <c r="C24" t="s">
        <v>260</v>
      </c>
      <c r="D24" t="s">
        <v>457</v>
      </c>
    </row>
    <row r="26" spans="1:7" ht="15.9">
      <c r="A26" s="170" t="s">
        <v>262</v>
      </c>
      <c r="B26" s="170" t="s">
        <v>263</v>
      </c>
      <c r="C26" s="170" t="s">
        <v>264</v>
      </c>
      <c r="D26" s="170" t="s">
        <v>265</v>
      </c>
      <c r="E26" s="170" t="s">
        <v>266</v>
      </c>
      <c r="F26" s="170" t="s">
        <v>267</v>
      </c>
      <c r="G26" s="170" t="s">
        <v>268</v>
      </c>
    </row>
    <row r="27" spans="1:7" ht="16.3" customHeight="1" outlineLevel="1">
      <c r="A27" s="14" t="s">
        <v>270</v>
      </c>
      <c r="B27" t="s">
        <v>253</v>
      </c>
      <c r="C27" t="str">
        <f>VLOOKUP(B27,'Document Type'!$B$6:$C$34,2,FALSE)</f>
        <v>General</v>
      </c>
      <c r="D27" s="218">
        <v>45471</v>
      </c>
      <c r="F27" t="s">
        <v>270</v>
      </c>
      <c r="G27" t="s">
        <v>148</v>
      </c>
    </row>
    <row r="28" spans="1:7" outlineLevel="1">
      <c r="A28" t="s">
        <v>272</v>
      </c>
      <c r="B28" t="s">
        <v>234</v>
      </c>
      <c r="C28" t="str">
        <f>VLOOKUP(B28,'Document Type'!$B$6:$C$34,2,FALSE)</f>
        <v>General</v>
      </c>
      <c r="D28" s="218">
        <v>45471</v>
      </c>
      <c r="F28" t="s">
        <v>272</v>
      </c>
      <c r="G28" t="s">
        <v>148</v>
      </c>
    </row>
    <row r="29" spans="1:7" outlineLevel="1">
      <c r="A29" t="s">
        <v>450</v>
      </c>
      <c r="B29" t="s">
        <v>204</v>
      </c>
      <c r="C29" t="str">
        <f>VLOOKUP(B29,'Document Type'!$B$6:$C$34,2,FALSE)</f>
        <v>Company Setup</v>
      </c>
      <c r="D29" s="218">
        <v>44127</v>
      </c>
      <c r="E29" s="232" t="s">
        <v>212</v>
      </c>
      <c r="F29" t="s">
        <v>458</v>
      </c>
      <c r="G29" t="s">
        <v>148</v>
      </c>
    </row>
    <row r="30" spans="1:7" outlineLevel="1">
      <c r="A30" t="s">
        <v>459</v>
      </c>
      <c r="B30" t="s">
        <v>204</v>
      </c>
      <c r="C30" t="str">
        <f>VLOOKUP(B30,'Document Type'!$B$6:$C$34,2,FALSE)</f>
        <v>Company Setup</v>
      </c>
      <c r="D30" s="218">
        <v>44127</v>
      </c>
      <c r="F30" t="s">
        <v>460</v>
      </c>
      <c r="G30" t="s">
        <v>148</v>
      </c>
    </row>
    <row r="31" spans="1:7" outlineLevel="1">
      <c r="A31" t="s">
        <v>452</v>
      </c>
      <c r="B31" t="s">
        <v>204</v>
      </c>
      <c r="C31" t="str">
        <f>VLOOKUP(B31,'Document Type'!$B$6:$C$34,2,FALSE)</f>
        <v>Company Setup</v>
      </c>
      <c r="D31" s="218">
        <v>44127</v>
      </c>
      <c r="F31" t="s">
        <v>461</v>
      </c>
      <c r="G31" t="s">
        <v>148</v>
      </c>
    </row>
    <row r="32" spans="1:7" outlineLevel="1">
      <c r="A32" t="s">
        <v>462</v>
      </c>
      <c r="B32" t="s">
        <v>246</v>
      </c>
      <c r="C32" t="str">
        <f>VLOOKUP(B32,'Document Type'!$B$6:$C$34,2,FALSE)</f>
        <v>Minutes</v>
      </c>
      <c r="D32" s="218">
        <v>44127</v>
      </c>
      <c r="F32" t="s">
        <v>463</v>
      </c>
      <c r="G32" t="s">
        <v>148</v>
      </c>
    </row>
    <row r="33" spans="1:7" outlineLevel="1">
      <c r="A33" t="s">
        <v>464</v>
      </c>
      <c r="B33" t="s">
        <v>216</v>
      </c>
      <c r="C33" t="str">
        <f>VLOOKUP(B33,'Document Type'!$B$6:$C$34,2,FALSE)</f>
        <v>Register of Members</v>
      </c>
      <c r="D33" s="218">
        <v>44127</v>
      </c>
      <c r="F33" t="s">
        <v>465</v>
      </c>
      <c r="G33" t="s">
        <v>148</v>
      </c>
    </row>
    <row r="34" spans="1:7" outlineLevel="1">
      <c r="A34" t="s">
        <v>466</v>
      </c>
      <c r="B34" t="s">
        <v>216</v>
      </c>
      <c r="C34" t="str">
        <f>VLOOKUP(B34,'Document Type'!$B$6:$C$34,2,FALSE)</f>
        <v>Register of Members</v>
      </c>
      <c r="D34" s="218">
        <v>44127</v>
      </c>
      <c r="F34" t="s">
        <v>467</v>
      </c>
      <c r="G34" t="s">
        <v>148</v>
      </c>
    </row>
    <row r="35" spans="1:7" outlineLevel="1">
      <c r="A35" t="s">
        <v>468</v>
      </c>
      <c r="B35" t="s">
        <v>216</v>
      </c>
      <c r="C35" t="str">
        <f>VLOOKUP(B35,'Document Type'!$B$6:$C$34,2,FALSE)</f>
        <v>Register of Members</v>
      </c>
      <c r="D35" s="218">
        <v>44127</v>
      </c>
      <c r="F35" t="s">
        <v>469</v>
      </c>
      <c r="G35" t="s">
        <v>148</v>
      </c>
    </row>
    <row r="36" spans="1:7" outlineLevel="1">
      <c r="A36" t="s">
        <v>470</v>
      </c>
      <c r="B36" t="s">
        <v>242</v>
      </c>
      <c r="C36" t="str">
        <f>VLOOKUP(B36,'Document Type'!$B$6:$C$34,2,FALSE)</f>
        <v>General</v>
      </c>
      <c r="D36" s="218">
        <v>44127</v>
      </c>
      <c r="F36" t="s">
        <v>471</v>
      </c>
      <c r="G36" t="s">
        <v>148</v>
      </c>
    </row>
    <row r="37" spans="1:7" outlineLevel="1">
      <c r="A37" t="s">
        <v>472</v>
      </c>
      <c r="B37" t="s">
        <v>242</v>
      </c>
      <c r="C37" t="str">
        <f>VLOOKUP(B37,'Document Type'!$B$6:$C$34,2,FALSE)</f>
        <v>General</v>
      </c>
      <c r="D37" s="218">
        <v>44127</v>
      </c>
      <c r="F37" t="s">
        <v>473</v>
      </c>
      <c r="G37" t="s">
        <v>148</v>
      </c>
    </row>
    <row r="38" spans="1:7" outlineLevel="1">
      <c r="A38" t="s">
        <v>474</v>
      </c>
      <c r="B38" t="s">
        <v>204</v>
      </c>
      <c r="C38" t="str">
        <f>VLOOKUP(B38,'Document Type'!$B$6:$C$34,2,FALSE)</f>
        <v>Company Setup</v>
      </c>
      <c r="D38" s="218">
        <v>44130</v>
      </c>
      <c r="F38" t="s">
        <v>475</v>
      </c>
      <c r="G38" t="s">
        <v>148</v>
      </c>
    </row>
    <row r="39" spans="1:7" outlineLevel="1">
      <c r="A39" t="s">
        <v>476</v>
      </c>
      <c r="B39" t="s">
        <v>204</v>
      </c>
      <c r="C39" t="str">
        <f>VLOOKUP(B39,'Document Type'!$B$6:$C$34,2,FALSE)</f>
        <v>Company Setup</v>
      </c>
      <c r="D39" s="218">
        <v>44130</v>
      </c>
      <c r="F39" t="s">
        <v>477</v>
      </c>
      <c r="G39" t="s">
        <v>148</v>
      </c>
    </row>
    <row r="40" spans="1:7" outlineLevel="1">
      <c r="A40" t="s">
        <v>478</v>
      </c>
      <c r="B40" t="s">
        <v>216</v>
      </c>
      <c r="C40" t="str">
        <f>VLOOKUP(B40,'Document Type'!$B$6:$C$34,2,FALSE)</f>
        <v>Register of Members</v>
      </c>
      <c r="D40" s="218">
        <v>44127</v>
      </c>
      <c r="F40" t="s">
        <v>479</v>
      </c>
      <c r="G40" t="s">
        <v>148</v>
      </c>
    </row>
    <row r="41" spans="1:7" outlineLevel="1">
      <c r="A41" t="s">
        <v>480</v>
      </c>
      <c r="B41" t="s">
        <v>204</v>
      </c>
      <c r="C41" t="str">
        <f>VLOOKUP(B41,'Document Type'!$B$6:$C$34,2,FALSE)</f>
        <v>Company Setup</v>
      </c>
      <c r="D41" s="218">
        <v>44130</v>
      </c>
      <c r="F41" t="s">
        <v>481</v>
      </c>
      <c r="G41" t="s">
        <v>148</v>
      </c>
    </row>
    <row r="42" spans="1:7" outlineLevel="1">
      <c r="A42" t="s">
        <v>482</v>
      </c>
      <c r="B42" t="s">
        <v>253</v>
      </c>
      <c r="C42" t="str">
        <f>VLOOKUP(B42,'Document Type'!$B$6:$C$34,2,FALSE)</f>
        <v>General</v>
      </c>
      <c r="D42" s="218">
        <v>45107</v>
      </c>
      <c r="F42" t="s">
        <v>483</v>
      </c>
      <c r="G42" t="s">
        <v>148</v>
      </c>
    </row>
    <row r="43" spans="1:7" outlineLevel="1">
      <c r="A43" t="s">
        <v>484</v>
      </c>
      <c r="B43" t="s">
        <v>208</v>
      </c>
      <c r="C43" t="str">
        <f>VLOOKUP(B43,'Document Type'!$B$6:$C$34,2,FALSE)</f>
        <v>General</v>
      </c>
      <c r="D43" s="218">
        <v>44857</v>
      </c>
      <c r="F43" t="s">
        <v>485</v>
      </c>
      <c r="G43" t="s">
        <v>148</v>
      </c>
    </row>
    <row r="44" spans="1:7" outlineLevel="1">
      <c r="A44" t="s">
        <v>2</v>
      </c>
      <c r="B44" t="s">
        <v>2</v>
      </c>
      <c r="C44" t="str">
        <f>VLOOKUP(B44,'Document Type'!$B$6:$C$34,2,FALSE)</f>
        <v>General</v>
      </c>
      <c r="D44" s="218">
        <v>45100</v>
      </c>
      <c r="F44" t="s">
        <v>486</v>
      </c>
      <c r="G44" t="s">
        <v>148</v>
      </c>
    </row>
    <row r="45" spans="1:7" outlineLevel="1">
      <c r="A45" t="s">
        <v>484</v>
      </c>
      <c r="B45" t="s">
        <v>208</v>
      </c>
      <c r="C45" t="str">
        <f>VLOOKUP(B45,'Document Type'!$B$6:$C$34,2,FALSE)</f>
        <v>General</v>
      </c>
      <c r="D45" s="218">
        <v>44860</v>
      </c>
      <c r="F45" t="s">
        <v>487</v>
      </c>
      <c r="G45" t="s">
        <v>148</v>
      </c>
    </row>
    <row r="46" spans="1:7" outlineLevel="1">
      <c r="A46" t="s">
        <v>239</v>
      </c>
      <c r="B46" t="s">
        <v>287</v>
      </c>
      <c r="C46" t="str">
        <f>VLOOKUP(B46,'Document Type'!$B$6:$C$34,2,FALSE)</f>
        <v>General</v>
      </c>
      <c r="D46" s="218">
        <v>44698</v>
      </c>
      <c r="F46" t="s">
        <v>488</v>
      </c>
      <c r="G46" t="s">
        <v>148</v>
      </c>
    </row>
    <row r="47" spans="1:7" outlineLevel="1">
      <c r="A47" t="s">
        <v>489</v>
      </c>
      <c r="B47" t="s">
        <v>208</v>
      </c>
      <c r="C47" t="str">
        <f>VLOOKUP(B47,'Document Type'!$B$6:$C$34,2,FALSE)</f>
        <v>General</v>
      </c>
      <c r="D47" s="218">
        <v>44492</v>
      </c>
      <c r="F47" t="s">
        <v>490</v>
      </c>
      <c r="G47" t="s">
        <v>148</v>
      </c>
    </row>
    <row r="48" spans="1:7" outlineLevel="1">
      <c r="A48" t="s">
        <v>491</v>
      </c>
      <c r="B48" t="s">
        <v>287</v>
      </c>
      <c r="C48" t="str">
        <f>VLOOKUP(B48,'Document Type'!$B$6:$C$34,2,FALSE)</f>
        <v>General</v>
      </c>
      <c r="D48" s="218">
        <v>45065</v>
      </c>
      <c r="F48" t="s">
        <v>492</v>
      </c>
      <c r="G48" t="s">
        <v>148</v>
      </c>
    </row>
    <row r="49" spans="1:16" outlineLevel="1">
      <c r="A49" t="s">
        <v>493</v>
      </c>
      <c r="B49" t="s">
        <v>287</v>
      </c>
      <c r="C49" t="str">
        <f>VLOOKUP(B49,'Document Type'!$B$6:$C$34,2,FALSE)</f>
        <v>General</v>
      </c>
      <c r="D49" s="218">
        <v>45065</v>
      </c>
      <c r="F49" t="s">
        <v>494</v>
      </c>
      <c r="G49" t="s">
        <v>148</v>
      </c>
    </row>
    <row r="50" spans="1:16" outlineLevel="1">
      <c r="A50" t="s">
        <v>213</v>
      </c>
      <c r="B50" t="s">
        <v>213</v>
      </c>
      <c r="C50" t="str">
        <f>VLOOKUP(B50,'Document Type'!$B$6:$C$34,2,FALSE)</f>
        <v>Constitution</v>
      </c>
      <c r="D50" s="218">
        <v>44127</v>
      </c>
      <c r="F50" s="69" t="s">
        <v>495</v>
      </c>
      <c r="G50" t="s">
        <v>148</v>
      </c>
    </row>
    <row r="51" spans="1:16" outlineLevel="1">
      <c r="C51" t="e">
        <f>VLOOKUP(B51,'Document Type'!$B$6:$C$34,2,FALSE)</f>
        <v>#N/A</v>
      </c>
    </row>
    <row r="52" spans="1:16" outlineLevel="1">
      <c r="C52" t="e">
        <f>VLOOKUP(B52,'Document Type'!$B$6:$C$34,2,FALSE)</f>
        <v>#N/A</v>
      </c>
    </row>
    <row r="53" spans="1:16" outlineLevel="1">
      <c r="C53" t="e">
        <f>VLOOKUP(B53,'Document Type'!$B$6:$C$34,2,FALSE)</f>
        <v>#N/A</v>
      </c>
    </row>
    <row r="54" spans="1:16" outlineLevel="1">
      <c r="C54" t="e">
        <f>VLOOKUP(B54,'Document Type'!$B$6:$C$34,2,FALSE)</f>
        <v>#N/A</v>
      </c>
    </row>
    <row r="55" spans="1:16" outlineLevel="1">
      <c r="C55" t="e">
        <f>VLOOKUP(B55,'Document Type'!$B$6:$C$34,2,FALSE)</f>
        <v>#N/A</v>
      </c>
    </row>
    <row r="56" spans="1:16" outlineLevel="1">
      <c r="C56" t="e">
        <f>VLOOKUP(B56,'Document Type'!$B$6:$C$34,2,FALSE)</f>
        <v>#N/A</v>
      </c>
    </row>
    <row r="57" spans="1:16" outlineLevel="1">
      <c r="C57" t="e">
        <f>VLOOKUP(B57,'Document Type'!$B$6:$C$34,2,FALSE)</f>
        <v>#N/A</v>
      </c>
    </row>
    <row r="58" spans="1:16" outlineLevel="1">
      <c r="C58" t="e">
        <f>VLOOKUP(B58,'Document Type'!$B$6:$C$34,2,FALSE)</f>
        <v>#N/A</v>
      </c>
    </row>
    <row r="59" spans="1:16" outlineLevel="1">
      <c r="C59" t="e">
        <f>VLOOKUP(B59,'Document Type'!$B$6:$C$34,2,FALSE)</f>
        <v>#N/A</v>
      </c>
    </row>
    <row r="60" spans="1:16" outlineLevel="1">
      <c r="C60" t="e">
        <f>VLOOKUP(B60,'Document Type'!$B$6:$C$34,2,FALSE)</f>
        <v>#N/A</v>
      </c>
    </row>
    <row r="61" spans="1:16" outlineLevel="1">
      <c r="C61" t="e">
        <f>VLOOKUP(B61,'Document Type'!$B$6:$C$34,2,FALSE)</f>
        <v>#N/A</v>
      </c>
    </row>
    <row r="63" spans="1:16" ht="15.9">
      <c r="A63" s="170" t="s">
        <v>289</v>
      </c>
    </row>
    <row r="64" spans="1:16">
      <c r="A64" s="232" t="s">
        <v>265</v>
      </c>
      <c r="B64" s="232" t="s">
        <v>290</v>
      </c>
      <c r="C64" s="232" t="s">
        <v>291</v>
      </c>
      <c r="D64" s="252" t="s">
        <v>292</v>
      </c>
      <c r="E64" s="232" t="s">
        <v>293</v>
      </c>
      <c r="F64" s="232" t="s">
        <v>294</v>
      </c>
      <c r="G64" s="276" t="s">
        <v>295</v>
      </c>
      <c r="H64" s="191" t="s">
        <v>296</v>
      </c>
      <c r="I64" s="209" t="s">
        <v>297</v>
      </c>
      <c r="J64" s="93" t="s">
        <v>298</v>
      </c>
      <c r="K64" s="93" t="s">
        <v>299</v>
      </c>
      <c r="L64" s="93" t="s">
        <v>300</v>
      </c>
      <c r="M64" s="209" t="s">
        <v>301</v>
      </c>
      <c r="N64" s="93" t="s">
        <v>302</v>
      </c>
      <c r="O64" s="93" t="s">
        <v>303</v>
      </c>
      <c r="P64" s="93" t="s">
        <v>304</v>
      </c>
    </row>
    <row r="65" spans="1:16" hidden="1" outlineLevel="1">
      <c r="A65" s="140">
        <v>44127</v>
      </c>
      <c r="B65" s="93" t="s">
        <v>437</v>
      </c>
      <c r="C65" s="93" t="s">
        <v>496</v>
      </c>
      <c r="D65" s="93"/>
      <c r="E65" s="93"/>
      <c r="F65" s="93"/>
      <c r="G65" s="93">
        <v>50</v>
      </c>
      <c r="H65" s="93"/>
      <c r="I65" s="209">
        <v>1</v>
      </c>
      <c r="J65" s="93"/>
      <c r="K65" s="93" t="s">
        <v>403</v>
      </c>
      <c r="L65" s="93">
        <v>50</v>
      </c>
      <c r="M65" s="209">
        <v>50</v>
      </c>
      <c r="N65" s="93" t="s">
        <v>403</v>
      </c>
      <c r="O65" s="93" t="s">
        <v>228</v>
      </c>
      <c r="P65" s="93"/>
    </row>
    <row r="66" spans="1:16" hidden="1" outlineLevel="1">
      <c r="A66" s="140">
        <v>44127</v>
      </c>
      <c r="B66" s="93" t="s">
        <v>437</v>
      </c>
      <c r="C66" s="93" t="s">
        <v>496</v>
      </c>
      <c r="D66" s="93"/>
      <c r="E66" s="93"/>
      <c r="F66" s="93"/>
      <c r="G66" s="93">
        <v>50</v>
      </c>
      <c r="H66" s="93"/>
      <c r="I66" s="209">
        <v>1</v>
      </c>
      <c r="J66" s="93"/>
      <c r="K66" s="93" t="s">
        <v>497</v>
      </c>
      <c r="L66" s="93">
        <v>50</v>
      </c>
      <c r="M66" s="209">
        <v>50</v>
      </c>
      <c r="N66" s="93" t="s">
        <v>497</v>
      </c>
      <c r="O66" s="93" t="s">
        <v>498</v>
      </c>
      <c r="P66" s="93"/>
    </row>
    <row r="67" spans="1:16" hidden="1" outlineLevel="1">
      <c r="A67" s="140"/>
      <c r="B67" s="93"/>
      <c r="C67" s="93"/>
      <c r="D67" s="93"/>
      <c r="E67" s="93"/>
      <c r="F67" s="93"/>
      <c r="G67" s="93"/>
      <c r="H67" s="93"/>
      <c r="I67" s="209"/>
      <c r="J67" s="93"/>
      <c r="K67" s="93"/>
      <c r="L67" s="93"/>
      <c r="M67" s="209"/>
      <c r="N67" s="93"/>
      <c r="O67" s="93"/>
      <c r="P67" s="93"/>
    </row>
    <row r="68" spans="1:16" hidden="1" outlineLevel="1">
      <c r="A68" s="140"/>
      <c r="B68" s="93"/>
      <c r="C68" s="93"/>
      <c r="D68" s="93"/>
      <c r="E68" s="93"/>
      <c r="F68" s="93"/>
      <c r="G68" s="93"/>
      <c r="H68" s="93"/>
      <c r="I68" s="209"/>
      <c r="J68" s="93"/>
      <c r="K68" s="93"/>
      <c r="L68" s="93"/>
      <c r="M68" s="209"/>
      <c r="N68" s="93"/>
      <c r="O68" s="93"/>
      <c r="P68" s="93"/>
    </row>
    <row r="69" spans="1:16" hidden="1" outlineLevel="1">
      <c r="A69" s="140"/>
      <c r="B69" s="93"/>
      <c r="C69" s="93"/>
      <c r="D69" s="93"/>
      <c r="E69" s="93"/>
      <c r="F69" s="93"/>
      <c r="G69" s="93"/>
      <c r="H69" s="93"/>
      <c r="I69" s="209"/>
      <c r="J69" s="93"/>
      <c r="K69" s="93"/>
      <c r="L69" s="93"/>
      <c r="M69" s="209"/>
      <c r="N69" s="93"/>
      <c r="O69" s="93"/>
      <c r="P69" s="93"/>
    </row>
    <row r="70" spans="1:16" hidden="1" outlineLevel="1">
      <c r="A70" s="140"/>
      <c r="B70" s="93"/>
      <c r="C70" s="93"/>
      <c r="D70" s="93"/>
      <c r="E70" s="93"/>
      <c r="F70" s="93"/>
      <c r="G70" s="93"/>
      <c r="H70" s="93"/>
      <c r="I70" s="209"/>
      <c r="J70" s="93"/>
      <c r="K70" s="93"/>
      <c r="L70" s="93"/>
      <c r="M70" s="209"/>
      <c r="N70" s="93"/>
      <c r="O70" s="93"/>
      <c r="P70" s="93"/>
    </row>
    <row r="71" spans="1:16" hidden="1" outlineLevel="1">
      <c r="A71" s="140"/>
      <c r="B71" s="93"/>
      <c r="C71" s="93"/>
      <c r="D71" s="93"/>
      <c r="E71" s="93"/>
      <c r="F71" s="93"/>
      <c r="G71" s="93"/>
      <c r="H71" s="93"/>
      <c r="I71" s="209"/>
      <c r="J71" s="93"/>
      <c r="K71" s="93"/>
      <c r="L71" s="93"/>
      <c r="M71" s="209"/>
      <c r="N71" s="93"/>
      <c r="O71" s="93"/>
      <c r="P71" s="93"/>
    </row>
    <row r="72" spans="1:16" hidden="1" outlineLevel="1">
      <c r="A72" s="140"/>
      <c r="B72" s="93"/>
      <c r="C72" s="93"/>
      <c r="D72" s="93"/>
      <c r="E72" s="93"/>
      <c r="F72" s="93"/>
      <c r="G72" s="93"/>
      <c r="H72" s="93"/>
      <c r="I72" s="209"/>
      <c r="J72" s="93"/>
      <c r="K72" s="93"/>
      <c r="L72" s="93"/>
      <c r="M72" s="209"/>
      <c r="N72" s="93"/>
      <c r="O72" s="93"/>
      <c r="P72" s="93"/>
    </row>
    <row r="73" spans="1:16" hidden="1" outlineLevel="1">
      <c r="A73" s="140"/>
      <c r="B73" s="93"/>
      <c r="C73" s="93"/>
      <c r="D73" s="93"/>
      <c r="E73" s="93"/>
      <c r="F73" s="93"/>
      <c r="G73" s="93"/>
      <c r="H73" s="93"/>
      <c r="I73" s="209"/>
      <c r="J73" s="93"/>
      <c r="K73" s="93"/>
      <c r="L73" s="93"/>
      <c r="M73" s="209"/>
      <c r="N73" s="93"/>
      <c r="O73" s="93"/>
      <c r="P73" s="93"/>
    </row>
    <row r="74" spans="1:16" hidden="1" outlineLevel="1">
      <c r="A74" s="140"/>
      <c r="B74" s="93"/>
      <c r="C74" s="93"/>
      <c r="D74" s="93"/>
      <c r="E74" s="93"/>
      <c r="F74" s="93"/>
      <c r="G74" s="93"/>
      <c r="H74" s="93"/>
      <c r="I74" s="209"/>
      <c r="J74" s="93"/>
      <c r="K74" s="93"/>
      <c r="L74" s="93"/>
      <c r="M74" s="209"/>
      <c r="N74" s="93"/>
      <c r="O74" s="93"/>
      <c r="P74" s="93"/>
    </row>
    <row r="75" spans="1:16" hidden="1" outlineLevel="1">
      <c r="A75" s="140"/>
      <c r="B75" s="93"/>
      <c r="C75" s="93"/>
      <c r="D75" s="93"/>
      <c r="E75" s="93"/>
      <c r="F75" s="93"/>
      <c r="G75" s="93"/>
      <c r="H75" s="93"/>
      <c r="I75" s="209"/>
      <c r="J75" s="93"/>
      <c r="K75" s="93"/>
      <c r="L75" s="93"/>
      <c r="M75" s="209"/>
      <c r="N75" s="93"/>
      <c r="O75" s="93"/>
      <c r="P75" s="93"/>
    </row>
    <row r="76" spans="1:16" hidden="1" outlineLevel="1">
      <c r="A76" s="140"/>
      <c r="B76" s="93"/>
      <c r="C76" s="93"/>
      <c r="D76" s="93"/>
      <c r="E76" s="93"/>
      <c r="F76" s="93"/>
      <c r="G76" s="93"/>
      <c r="H76" s="93"/>
      <c r="I76" s="209"/>
      <c r="J76" s="93"/>
      <c r="K76" s="93"/>
      <c r="L76" s="93"/>
      <c r="M76" s="209"/>
      <c r="N76" s="93"/>
      <c r="O76" s="93"/>
      <c r="P76" s="93"/>
    </row>
    <row r="77" spans="1:16" hidden="1" outlineLevel="1">
      <c r="A77" s="140"/>
      <c r="B77" s="93"/>
      <c r="C77" s="93"/>
      <c r="D77" s="93"/>
      <c r="E77" s="93"/>
      <c r="F77" s="93"/>
      <c r="G77" s="93"/>
      <c r="H77" s="93"/>
      <c r="I77" s="209"/>
      <c r="J77" s="93"/>
      <c r="K77" s="93"/>
      <c r="L77" s="93"/>
      <c r="M77" s="209"/>
      <c r="N77" s="93"/>
      <c r="O77" s="93"/>
      <c r="P77" s="93"/>
    </row>
    <row r="78" spans="1:16" hidden="1" outlineLevel="1">
      <c r="A78" s="140"/>
      <c r="B78" s="93"/>
      <c r="C78" s="93"/>
      <c r="D78" s="93"/>
      <c r="E78" s="93"/>
      <c r="F78" s="93"/>
      <c r="G78" s="93"/>
      <c r="H78" s="93"/>
      <c r="I78" s="209"/>
      <c r="J78" s="93"/>
      <c r="K78" s="93"/>
      <c r="L78" s="93"/>
      <c r="M78" s="209"/>
      <c r="N78" s="93"/>
      <c r="O78" s="93"/>
      <c r="P78" s="93"/>
    </row>
    <row r="79" spans="1:16" hidden="1" outlineLevel="1">
      <c r="A79" s="140"/>
      <c r="B79" s="93"/>
      <c r="C79" s="93"/>
      <c r="D79" s="93"/>
      <c r="E79" s="93"/>
      <c r="F79" s="93"/>
      <c r="G79" s="93"/>
      <c r="H79" s="93"/>
      <c r="I79" s="209"/>
      <c r="J79" s="93"/>
      <c r="K79" s="93"/>
      <c r="L79" s="93"/>
      <c r="M79" s="209"/>
      <c r="N79" s="93"/>
      <c r="O79" s="93"/>
      <c r="P79" s="93"/>
    </row>
    <row r="80" spans="1:16" hidden="1" outlineLevel="1">
      <c r="A80" s="140"/>
      <c r="B80" s="93"/>
      <c r="C80" s="93"/>
      <c r="D80" s="93"/>
      <c r="E80" s="93"/>
      <c r="F80" s="93"/>
      <c r="G80" s="93"/>
      <c r="H80" s="93"/>
      <c r="I80" s="209"/>
      <c r="J80" s="93"/>
      <c r="K80" s="93"/>
      <c r="L80" s="93"/>
      <c r="M80" s="209"/>
      <c r="N80" s="93"/>
      <c r="O80" s="93"/>
      <c r="P80" s="93"/>
    </row>
    <row r="81" spans="1:16" hidden="1" outlineLevel="1">
      <c r="A81" s="140"/>
      <c r="B81" s="93"/>
      <c r="C81" s="93"/>
      <c r="D81" s="93"/>
      <c r="E81" s="93"/>
      <c r="F81" s="93"/>
      <c r="G81" s="93"/>
      <c r="H81" s="93"/>
      <c r="I81" s="209"/>
      <c r="J81" s="93"/>
      <c r="K81" s="93"/>
      <c r="L81" s="93"/>
      <c r="M81" s="209"/>
      <c r="N81" s="93"/>
      <c r="O81" s="93"/>
      <c r="P81" s="93"/>
    </row>
    <row r="82" spans="1:16" hidden="1" outlineLevel="1">
      <c r="A82" s="140"/>
      <c r="B82" s="93"/>
      <c r="C82" s="93"/>
      <c r="D82" s="93"/>
      <c r="E82" s="93"/>
      <c r="F82" s="93"/>
      <c r="G82" s="93"/>
      <c r="H82" s="93"/>
      <c r="I82" s="209"/>
      <c r="J82" s="93"/>
      <c r="K82" s="93"/>
      <c r="L82" s="93"/>
      <c r="M82" s="209"/>
      <c r="N82" s="93"/>
      <c r="O82" s="93"/>
      <c r="P82" s="93"/>
    </row>
    <row r="83" spans="1:16" hidden="1" outlineLevel="1">
      <c r="A83" s="93"/>
      <c r="B83" s="93"/>
      <c r="C83" s="93"/>
      <c r="D83" s="93"/>
      <c r="E83" s="93"/>
      <c r="F83" s="93"/>
      <c r="G83" s="93"/>
      <c r="H83" s="93"/>
      <c r="I83" s="209"/>
      <c r="J83" s="93"/>
      <c r="K83" s="93"/>
      <c r="L83" s="93"/>
      <c r="M83" s="209"/>
      <c r="N83" s="93"/>
      <c r="O83" s="93"/>
      <c r="P83" s="93"/>
    </row>
    <row r="84" spans="1:16" hidden="1" outlineLevel="1">
      <c r="A84" s="93"/>
      <c r="B84" s="93"/>
      <c r="C84" s="93"/>
      <c r="D84" s="93"/>
      <c r="E84" s="93"/>
      <c r="F84" s="93"/>
      <c r="G84" s="93"/>
      <c r="H84" s="93"/>
      <c r="I84" s="209"/>
      <c r="J84" s="93"/>
      <c r="K84" s="93"/>
      <c r="L84" s="93"/>
      <c r="M84" s="209"/>
      <c r="N84" s="93"/>
      <c r="O84" s="93"/>
      <c r="P84" s="93"/>
    </row>
    <row r="85" spans="1:16" hidden="1" outlineLevel="1">
      <c r="A85" s="93"/>
      <c r="B85" s="93"/>
      <c r="C85" s="93"/>
      <c r="D85" s="93"/>
      <c r="E85" s="93"/>
      <c r="F85" s="93"/>
      <c r="G85" s="93"/>
      <c r="H85" s="93"/>
      <c r="I85" s="209"/>
      <c r="J85" s="93"/>
      <c r="K85" s="93"/>
      <c r="L85" s="93"/>
      <c r="M85" s="209"/>
      <c r="N85" s="93"/>
      <c r="O85" s="93"/>
      <c r="P85" s="93"/>
    </row>
    <row r="86" spans="1:16" hidden="1" outlineLevel="1">
      <c r="A86" s="93"/>
      <c r="B86" s="93"/>
      <c r="C86" s="93"/>
      <c r="D86" s="93"/>
      <c r="E86" s="93"/>
      <c r="F86" s="93"/>
      <c r="G86" s="93"/>
      <c r="H86" s="93"/>
      <c r="I86" s="209"/>
      <c r="J86" s="93"/>
      <c r="K86" s="93"/>
      <c r="L86" s="93"/>
      <c r="M86" s="209"/>
      <c r="N86" s="93"/>
      <c r="O86" s="93"/>
      <c r="P86" s="93"/>
    </row>
    <row r="87" spans="1:16" hidden="1" outlineLevel="1">
      <c r="A87" s="93"/>
      <c r="B87" s="93"/>
      <c r="C87" s="93"/>
      <c r="D87" s="93"/>
      <c r="E87" s="93"/>
      <c r="F87" s="93"/>
      <c r="G87" s="93"/>
      <c r="H87" s="93"/>
      <c r="I87" s="209"/>
      <c r="J87" s="93"/>
      <c r="K87" s="93"/>
      <c r="L87" s="93"/>
      <c r="M87" s="209"/>
      <c r="N87" s="93"/>
      <c r="O87" s="93"/>
      <c r="P87" s="93"/>
    </row>
    <row r="88" spans="1:16" hidden="1" outlineLevel="1">
      <c r="A88" s="93"/>
      <c r="B88" s="93"/>
      <c r="C88" s="93"/>
      <c r="D88" s="93"/>
      <c r="E88" s="93"/>
      <c r="F88" s="93"/>
      <c r="G88" s="93"/>
      <c r="H88" s="93"/>
      <c r="I88" s="209"/>
      <c r="J88" s="93"/>
      <c r="K88" s="93"/>
      <c r="L88" s="93"/>
      <c r="M88" s="209"/>
      <c r="N88" s="93"/>
      <c r="O88" s="93"/>
      <c r="P88" s="93"/>
    </row>
    <row r="89" spans="1:16" hidden="1" outlineLevel="1">
      <c r="A89" s="93"/>
      <c r="B89" s="93"/>
      <c r="C89" s="93"/>
      <c r="D89" s="93"/>
      <c r="E89" s="93"/>
      <c r="F89" s="93"/>
      <c r="G89" s="93"/>
      <c r="H89" s="93"/>
      <c r="I89" s="209"/>
      <c r="J89" s="93"/>
      <c r="K89" s="93"/>
      <c r="L89" s="93"/>
      <c r="M89" s="209"/>
      <c r="N89" s="93"/>
      <c r="O89" s="93"/>
      <c r="P89" s="93"/>
    </row>
    <row r="90" spans="1:16" hidden="1" outlineLevel="1">
      <c r="A90" s="93"/>
      <c r="B90" s="93"/>
      <c r="C90" s="93"/>
      <c r="D90" s="93"/>
      <c r="E90" s="93"/>
      <c r="F90" s="93"/>
      <c r="G90" s="93"/>
      <c r="H90" s="93"/>
      <c r="I90" s="209"/>
      <c r="J90" s="93"/>
      <c r="K90" s="93"/>
      <c r="L90" s="93"/>
      <c r="M90" s="209"/>
      <c r="N90" s="93"/>
      <c r="O90" s="93"/>
      <c r="P90" s="93"/>
    </row>
    <row r="91" spans="1:16" collapsed="1"/>
    <row r="92" spans="1:16" ht="15.9">
      <c r="A92" s="170" t="s">
        <v>305</v>
      </c>
    </row>
    <row r="93" spans="1:16">
      <c r="A93" t="s">
        <v>224</v>
      </c>
      <c r="B93" t="s">
        <v>306</v>
      </c>
      <c r="C93" t="s">
        <v>307</v>
      </c>
      <c r="D93" t="s">
        <v>265</v>
      </c>
      <c r="E93" t="s">
        <v>308</v>
      </c>
      <c r="F93" t="s">
        <v>256</v>
      </c>
    </row>
    <row r="94" spans="1:16" hidden="1" outlineLevel="1">
      <c r="C94" s="112"/>
      <c r="D94" s="218"/>
    </row>
    <row r="95" spans="1:16" hidden="1" outlineLevel="1">
      <c r="C95" s="112"/>
      <c r="D95" s="218"/>
    </row>
    <row r="96" spans="1:16" hidden="1" outlineLevel="1">
      <c r="C96" s="112"/>
      <c r="D96" s="218"/>
    </row>
    <row r="97" spans="1:6" hidden="1" outlineLevel="1">
      <c r="C97" s="112"/>
      <c r="D97" s="218"/>
    </row>
    <row r="98" spans="1:6" hidden="1" outlineLevel="1">
      <c r="C98" s="112"/>
    </row>
    <row r="99" spans="1:6" hidden="1" outlineLevel="1">
      <c r="C99" s="112"/>
    </row>
    <row r="100" spans="1:6" collapsed="1"/>
    <row r="101" spans="1:6" ht="15.9">
      <c r="A101" s="170" t="s">
        <v>309</v>
      </c>
    </row>
    <row r="102" spans="1:6">
      <c r="A102" t="s">
        <v>310</v>
      </c>
      <c r="B102" t="s">
        <v>311</v>
      </c>
      <c r="C102" t="s">
        <v>312</v>
      </c>
      <c r="D102" t="s">
        <v>313</v>
      </c>
      <c r="E102" t="s">
        <v>314</v>
      </c>
      <c r="F102" t="s">
        <v>315</v>
      </c>
    </row>
    <row r="103" spans="1:6" ht="17.8" hidden="1" customHeight="1" outlineLevel="1"/>
    <row r="104" spans="1:6" hidden="1" outlineLevel="1"/>
    <row r="105" spans="1:6" hidden="1" outlineLevel="1"/>
    <row r="106" spans="1:6" hidden="1" outlineLevel="1"/>
    <row r="107" spans="1:6" hidden="1" outlineLevel="1"/>
    <row r="108" spans="1:6" hidden="1" outlineLevel="1"/>
    <row r="109" spans="1:6" hidden="1" outlineLevel="1"/>
    <row r="110" spans="1:6" hidden="1" outlineLevel="1"/>
    <row r="111" spans="1:6" hidden="1" outlineLevel="1"/>
    <row r="112" spans="1:6" hidden="1" outlineLevel="1"/>
    <row r="113" hidden="1" outlineLevel="1"/>
    <row r="114" hidden="1" outlineLevel="1"/>
    <row r="115" hidden="1" outlineLevel="1"/>
    <row r="116" hidden="1" outlineLevel="1"/>
    <row r="117" hidden="1" outlineLevel="1"/>
    <row r="118" hidden="1" outlineLevel="1"/>
    <row r="119" hidden="1" outlineLevel="1"/>
    <row r="120" hidden="1" outlineLevel="1"/>
    <row r="121" collapsed="1"/>
  </sheetData>
  <mergeCells count="3">
    <mergeCell ref="A3:G3"/>
    <mergeCell ref="B6:C6"/>
    <mergeCell ref="B15:C15"/>
  </mergeCells>
  <phoneticPr fontId="13" type="noConversion"/>
  <hyperlinks>
    <hyperlink ref="A1" location="'All Companies'!A1" display="All Companies" xr:uid="{E0415BBC-F005-425F-B9DE-136A66512DC5}"/>
  </hyperlinks>
  <pageMargins left="0.7" right="0.7" top="0.75" bottom="0.75" header="0.3" footer="0.3"/>
  <tableParts count="4">
    <tablePart r:id="rId1"/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08B6F0E-9426-4FCC-86CA-74077ACEB556}">
          <x14:formula1>
            <xm:f>'Document Type'!$B$49:$B$51</xm:f>
          </x14:formula1>
          <xm:sqref>B10:B11</xm:sqref>
        </x14:dataValidation>
        <x14:dataValidation type="list" allowBlank="1" showInputMessage="1" showErrorMessage="1" xr:uid="{E0E47FEC-A610-4E86-89BC-641C15556F63}">
          <x14:formula1>
            <xm:f>'Document Type'!$B$45:$B$47</xm:f>
          </x14:formula1>
          <xm:sqref>B8 F8</xm:sqref>
        </x14:dataValidation>
        <x14:dataValidation type="list" allowBlank="1" showInputMessage="1" showErrorMessage="1" xr:uid="{5CEE81E8-309C-4872-A020-72D654A097DF}">
          <x14:formula1>
            <xm:f>'Document Type'!$B$38:$B$39</xm:f>
          </x14:formula1>
          <xm:sqref>E15 E29 F13 B13 F6</xm:sqref>
        </x14:dataValidation>
        <x14:dataValidation type="list" allowBlank="1" showInputMessage="1" showErrorMessage="1" xr:uid="{5E1D7FE3-D66D-402D-A889-722585A61172}">
          <x14:formula1>
            <xm:f>'Document Type'!$B$6:$B$34</xm:f>
          </x14:formula1>
          <xm:sqref>B27:B61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5024E-5EF1-4F84-8DB8-3508E601D619}">
  <dimension ref="A1:Q81"/>
  <sheetViews>
    <sheetView topLeftCell="B41" workbookViewId="0">
      <selection activeCell="D4" sqref="D4"/>
    </sheetView>
  </sheetViews>
  <sheetFormatPr defaultColWidth="8.69140625" defaultRowHeight="14.6" outlineLevelRow="1"/>
  <cols>
    <col min="1" max="1" width="38.3046875" bestFit="1" customWidth="1"/>
    <col min="2" max="2" width="42.69140625" bestFit="1" customWidth="1"/>
    <col min="3" max="3" width="29.15234375" customWidth="1"/>
    <col min="4" max="4" width="18.3046875" bestFit="1" customWidth="1"/>
    <col min="5" max="5" width="28.15234375" bestFit="1" customWidth="1"/>
    <col min="6" max="6" width="46.69140625" bestFit="1" customWidth="1"/>
    <col min="7" max="7" width="36.4609375" bestFit="1" customWidth="1"/>
    <col min="8" max="8" width="17.3046875" bestFit="1" customWidth="1"/>
    <col min="9" max="9" width="20.4609375" customWidth="1"/>
    <col min="10" max="10" width="25.15234375" bestFit="1" customWidth="1"/>
    <col min="11" max="11" width="25.3046875" bestFit="1" customWidth="1"/>
    <col min="12" max="12" width="27.3046875" bestFit="1" customWidth="1"/>
    <col min="13" max="13" width="31.69140625" bestFit="1" customWidth="1"/>
    <col min="14" max="14" width="30.15234375" bestFit="1" customWidth="1"/>
    <col min="15" max="15" width="21.4609375" bestFit="1" customWidth="1"/>
    <col min="16" max="16" width="23.3046875" bestFit="1" customWidth="1"/>
  </cols>
  <sheetData>
    <row r="1" spans="1:9">
      <c r="A1" s="69" t="s">
        <v>195</v>
      </c>
    </row>
    <row r="2" spans="1:9" ht="15" thickBot="1"/>
    <row r="3" spans="1:9" ht="26.8" customHeight="1" thickBot="1">
      <c r="A3" s="373" t="s">
        <v>499</v>
      </c>
      <c r="B3" s="374"/>
      <c r="C3" s="374"/>
      <c r="D3" s="374"/>
      <c r="E3" s="374"/>
      <c r="F3" s="374"/>
      <c r="G3" s="375"/>
      <c r="I3" s="334" t="s">
        <v>333</v>
      </c>
    </row>
    <row r="4" spans="1:9" ht="17.8" customHeight="1">
      <c r="A4" s="245" t="s">
        <v>201</v>
      </c>
      <c r="B4" s="287" t="s">
        <v>500</v>
      </c>
      <c r="C4" s="273" t="s">
        <v>202</v>
      </c>
      <c r="D4" s="278" t="s">
        <v>501</v>
      </c>
      <c r="E4" s="93"/>
      <c r="F4" s="273" t="s">
        <v>203</v>
      </c>
      <c r="G4" s="287" t="s">
        <v>502</v>
      </c>
      <c r="I4" t="s">
        <v>334</v>
      </c>
    </row>
    <row r="5" spans="1:9">
      <c r="A5" s="250" t="s">
        <v>206</v>
      </c>
      <c r="B5" s="254">
        <v>44651</v>
      </c>
      <c r="C5" s="254"/>
      <c r="D5" s="256"/>
      <c r="E5" s="274" t="s">
        <v>207</v>
      </c>
      <c r="F5" s="255">
        <v>400100</v>
      </c>
      <c r="G5" s="258"/>
    </row>
    <row r="6" spans="1:9">
      <c r="A6" s="251" t="s">
        <v>210</v>
      </c>
      <c r="B6" s="376"/>
      <c r="C6" s="376"/>
      <c r="D6" s="232"/>
      <c r="E6" s="275" t="s">
        <v>211</v>
      </c>
      <c r="F6" s="232"/>
      <c r="G6" s="276"/>
    </row>
    <row r="7" spans="1:9">
      <c r="A7" s="250" t="s">
        <v>503</v>
      </c>
      <c r="B7" s="256"/>
      <c r="C7" s="256"/>
      <c r="D7" s="254"/>
      <c r="E7" s="256"/>
      <c r="F7" s="256"/>
      <c r="G7" s="257"/>
    </row>
    <row r="8" spans="1:9">
      <c r="A8" s="249" t="s">
        <v>218</v>
      </c>
      <c r="B8" s="232" t="s">
        <v>221</v>
      </c>
      <c r="C8" s="232"/>
      <c r="D8" s="252"/>
      <c r="E8" s="275" t="s">
        <v>220</v>
      </c>
      <c r="F8" s="232" t="s">
        <v>221</v>
      </c>
      <c r="G8" s="276"/>
    </row>
    <row r="9" spans="1:9">
      <c r="A9" s="259"/>
      <c r="B9" s="256"/>
      <c r="C9" s="256" t="s">
        <v>224</v>
      </c>
      <c r="D9" s="254"/>
      <c r="E9" s="256"/>
      <c r="F9" s="256"/>
      <c r="G9" s="257"/>
    </row>
    <row r="10" spans="1:9">
      <c r="A10" s="249" t="s">
        <v>227</v>
      </c>
      <c r="B10" s="277" t="s">
        <v>504</v>
      </c>
      <c r="C10" s="252">
        <v>44875</v>
      </c>
      <c r="D10" s="232"/>
      <c r="E10" s="232"/>
      <c r="F10" s="232"/>
      <c r="G10" s="276"/>
    </row>
    <row r="11" spans="1:9">
      <c r="A11" s="250" t="s">
        <v>231</v>
      </c>
      <c r="B11" s="288" t="s">
        <v>504</v>
      </c>
      <c r="C11" s="254">
        <v>45194</v>
      </c>
      <c r="D11" s="256"/>
      <c r="E11" s="256"/>
      <c r="F11" s="378"/>
      <c r="G11" s="379"/>
    </row>
    <row r="12" spans="1:9">
      <c r="A12" s="240"/>
      <c r="B12" s="232"/>
      <c r="C12" s="232"/>
      <c r="D12" s="252"/>
      <c r="E12" s="232"/>
      <c r="F12" s="232"/>
      <c r="G12" s="276"/>
    </row>
    <row r="13" spans="1:9">
      <c r="A13" s="250" t="s">
        <v>236</v>
      </c>
      <c r="B13" s="237" t="s">
        <v>237</v>
      </c>
      <c r="C13" s="256"/>
      <c r="D13" s="256"/>
      <c r="E13" s="274" t="s">
        <v>238</v>
      </c>
      <c r="F13" s="237" t="s">
        <v>237</v>
      </c>
      <c r="G13" s="257"/>
    </row>
    <row r="14" spans="1:9">
      <c r="A14" s="242"/>
      <c r="B14" s="232"/>
      <c r="C14" s="232"/>
      <c r="D14" s="275"/>
      <c r="E14" s="275"/>
      <c r="G14" s="276"/>
    </row>
    <row r="15" spans="1:9">
      <c r="A15" s="242"/>
      <c r="B15" s="376"/>
      <c r="C15" s="376"/>
      <c r="D15" s="275" t="s">
        <v>240</v>
      </c>
      <c r="E15" s="275" t="s">
        <v>241</v>
      </c>
      <c r="G15" s="276"/>
    </row>
    <row r="16" spans="1:9">
      <c r="A16" s="250" t="s">
        <v>243</v>
      </c>
      <c r="B16" s="378" t="s">
        <v>505</v>
      </c>
      <c r="C16" s="378"/>
      <c r="D16" s="256">
        <v>400100</v>
      </c>
      <c r="E16" s="256" t="s">
        <v>237</v>
      </c>
      <c r="F16" s="378"/>
      <c r="G16" s="379"/>
    </row>
    <row r="17" spans="1:9">
      <c r="A17" s="242"/>
      <c r="B17" s="376"/>
      <c r="C17" s="376"/>
      <c r="D17" s="232"/>
      <c r="E17" s="232"/>
      <c r="F17" s="232"/>
      <c r="G17" s="276"/>
    </row>
    <row r="18" spans="1:9">
      <c r="A18" s="250" t="s">
        <v>247</v>
      </c>
      <c r="B18" s="256" t="s">
        <v>248</v>
      </c>
      <c r="C18" s="256" t="s">
        <v>82</v>
      </c>
      <c r="D18" s="254" t="s">
        <v>83</v>
      </c>
      <c r="E18" s="256" t="s">
        <v>249</v>
      </c>
      <c r="F18" s="256"/>
      <c r="G18" s="257"/>
    </row>
    <row r="19" spans="1:9" ht="15.9">
      <c r="A19" s="240"/>
      <c r="B19" s="292" t="s">
        <v>251</v>
      </c>
      <c r="C19" s="294" t="s">
        <v>506</v>
      </c>
      <c r="D19" s="292">
        <v>302971208</v>
      </c>
      <c r="E19" s="293">
        <v>44697</v>
      </c>
      <c r="F19" s="232"/>
      <c r="G19" s="276"/>
    </row>
    <row r="20" spans="1:9">
      <c r="A20" s="259"/>
      <c r="B20" s="256" t="s">
        <v>317</v>
      </c>
      <c r="C20" s="256" t="s">
        <v>341</v>
      </c>
      <c r="D20" s="260">
        <v>702733</v>
      </c>
      <c r="E20" s="254">
        <v>45301</v>
      </c>
      <c r="F20" s="256"/>
      <c r="G20" s="257"/>
    </row>
    <row r="21" spans="1:9">
      <c r="A21" s="240"/>
      <c r="B21" s="232"/>
      <c r="C21" s="232"/>
      <c r="D21" s="252"/>
      <c r="E21" s="232"/>
      <c r="F21" s="232"/>
      <c r="G21" s="276"/>
    </row>
    <row r="22" spans="1:9">
      <c r="A22" s="259"/>
      <c r="B22" s="256"/>
      <c r="C22" s="256"/>
      <c r="D22" s="254"/>
      <c r="E22" s="256"/>
      <c r="F22" s="256"/>
      <c r="G22" s="257"/>
    </row>
    <row r="23" spans="1:9">
      <c r="A23" s="240"/>
      <c r="B23" s="232"/>
      <c r="C23" s="232"/>
      <c r="D23" s="252"/>
      <c r="E23" s="232"/>
      <c r="F23" s="232"/>
      <c r="G23" s="276"/>
    </row>
    <row r="25" spans="1:9">
      <c r="A25" t="s">
        <v>259</v>
      </c>
      <c r="B25" s="69" t="s">
        <v>507</v>
      </c>
      <c r="C25" t="s">
        <v>260</v>
      </c>
      <c r="D25" t="s">
        <v>457</v>
      </c>
    </row>
    <row r="27" spans="1:9" ht="15.9">
      <c r="A27" s="170" t="s">
        <v>262</v>
      </c>
      <c r="B27" s="170" t="s">
        <v>263</v>
      </c>
      <c r="C27" s="170" t="s">
        <v>264</v>
      </c>
      <c r="D27" s="170" t="s">
        <v>265</v>
      </c>
      <c r="E27" s="170" t="s">
        <v>266</v>
      </c>
      <c r="F27" s="170" t="s">
        <v>267</v>
      </c>
      <c r="G27" s="170" t="s">
        <v>268</v>
      </c>
      <c r="I27" s="170"/>
    </row>
    <row r="28" spans="1:9" outlineLevel="1">
      <c r="A28" s="14" t="s">
        <v>270</v>
      </c>
      <c r="B28" t="s">
        <v>253</v>
      </c>
      <c r="C28" t="str">
        <f>VLOOKUP(B28,'Document Type'!$B$6:$C$34,2,FALSE)</f>
        <v>General</v>
      </c>
      <c r="D28" s="218">
        <v>45471</v>
      </c>
      <c r="F28" s="253" t="s">
        <v>508</v>
      </c>
      <c r="G28" t="s">
        <v>148</v>
      </c>
    </row>
    <row r="29" spans="1:9" outlineLevel="1">
      <c r="A29" t="s">
        <v>509</v>
      </c>
      <c r="B29" t="s">
        <v>234</v>
      </c>
      <c r="C29" t="str">
        <f>VLOOKUP(B29,'Document Type'!$B$6:$C$34,2,FALSE)</f>
        <v>General</v>
      </c>
      <c r="D29" s="218">
        <v>45471</v>
      </c>
      <c r="F29" s="253" t="s">
        <v>509</v>
      </c>
      <c r="G29" t="s">
        <v>148</v>
      </c>
    </row>
    <row r="30" spans="1:9" outlineLevel="1">
      <c r="A30" t="s">
        <v>280</v>
      </c>
      <c r="B30" t="s">
        <v>213</v>
      </c>
      <c r="C30" t="str">
        <f>VLOOKUP(B30,'Document Type'!$B$6:$C$34,2,FALSE)</f>
        <v>Constitution</v>
      </c>
      <c r="D30" s="218">
        <v>44714</v>
      </c>
      <c r="F30" s="69" t="s">
        <v>510</v>
      </c>
      <c r="G30" t="s">
        <v>148</v>
      </c>
    </row>
    <row r="31" spans="1:9" outlineLevel="1">
      <c r="A31" t="s">
        <v>511</v>
      </c>
      <c r="B31" t="s">
        <v>512</v>
      </c>
      <c r="C31" t="str">
        <f>VLOOKUP(B31,'Document Type'!$B$6:$C$34,2,FALSE)</f>
        <v>General</v>
      </c>
      <c r="D31" s="218">
        <v>45100</v>
      </c>
      <c r="F31" t="s">
        <v>513</v>
      </c>
      <c r="G31" t="s">
        <v>148</v>
      </c>
    </row>
    <row r="32" spans="1:9" outlineLevel="1">
      <c r="A32" t="s">
        <v>2</v>
      </c>
      <c r="B32" t="s">
        <v>2</v>
      </c>
      <c r="C32" t="str">
        <f>VLOOKUP(B32,'Document Type'!$B$6:$C$34,2,FALSE)</f>
        <v>General</v>
      </c>
      <c r="D32" s="218">
        <v>45100</v>
      </c>
      <c r="F32" t="s">
        <v>486</v>
      </c>
      <c r="G32" t="s">
        <v>148</v>
      </c>
    </row>
    <row r="33" spans="1:7" outlineLevel="1">
      <c r="A33" t="s">
        <v>323</v>
      </c>
      <c r="B33" t="s">
        <v>253</v>
      </c>
      <c r="C33" t="str">
        <f>VLOOKUP(B33,'Document Type'!$B$6:$C$34,2,FALSE)</f>
        <v>General</v>
      </c>
      <c r="D33" s="218">
        <v>45107</v>
      </c>
      <c r="F33" t="s">
        <v>514</v>
      </c>
      <c r="G33" t="s">
        <v>148</v>
      </c>
    </row>
    <row r="34" spans="1:7" outlineLevel="1">
      <c r="A34" t="s">
        <v>515</v>
      </c>
      <c r="B34" t="s">
        <v>287</v>
      </c>
      <c r="C34" t="s">
        <v>321</v>
      </c>
      <c r="D34" s="218">
        <v>44698</v>
      </c>
      <c r="F34" t="s">
        <v>516</v>
      </c>
      <c r="G34" t="s">
        <v>148</v>
      </c>
    </row>
    <row r="35" spans="1:7" outlineLevel="1">
      <c r="A35" t="s">
        <v>286</v>
      </c>
      <c r="B35" t="s">
        <v>287</v>
      </c>
      <c r="C35" t="str">
        <f>VLOOKUP(B35,'Document Type'!$B$6:$C$34,2,FALSE)</f>
        <v>General</v>
      </c>
      <c r="D35" s="218">
        <v>44698</v>
      </c>
      <c r="F35" t="s">
        <v>517</v>
      </c>
      <c r="G35" t="s">
        <v>148</v>
      </c>
    </row>
    <row r="36" spans="1:7" outlineLevel="1">
      <c r="A36" t="s">
        <v>518</v>
      </c>
      <c r="B36" t="s">
        <v>287</v>
      </c>
      <c r="C36" t="str">
        <f>VLOOKUP(B36,'Document Type'!$B$6:$C$34,2,FALSE)</f>
        <v>General</v>
      </c>
      <c r="D36" s="218">
        <v>45204</v>
      </c>
      <c r="F36" t="s">
        <v>519</v>
      </c>
      <c r="G36" t="s">
        <v>148</v>
      </c>
    </row>
    <row r="37" spans="1:7" outlineLevel="1">
      <c r="A37" t="s">
        <v>520</v>
      </c>
      <c r="B37" t="s">
        <v>512</v>
      </c>
      <c r="C37" t="str">
        <f>VLOOKUP(B37,'Document Type'!$B$6:$C$34,2,FALSE)</f>
        <v>General</v>
      </c>
      <c r="D37" s="218">
        <v>45204</v>
      </c>
      <c r="F37" t="s">
        <v>521</v>
      </c>
      <c r="G37" t="s">
        <v>148</v>
      </c>
    </row>
    <row r="38" spans="1:7" outlineLevel="1">
      <c r="A38" t="s">
        <v>522</v>
      </c>
      <c r="B38" t="s">
        <v>216</v>
      </c>
      <c r="C38" t="str">
        <f>VLOOKUP(B38,'Document Type'!$B$6:$C$34,2,FALSE)</f>
        <v>Register of Members</v>
      </c>
      <c r="D38" s="218">
        <v>45194</v>
      </c>
      <c r="F38" t="s">
        <v>523</v>
      </c>
      <c r="G38" t="s">
        <v>148</v>
      </c>
    </row>
    <row r="39" spans="1:7" outlineLevel="1">
      <c r="A39" t="s">
        <v>425</v>
      </c>
      <c r="B39" t="s">
        <v>287</v>
      </c>
      <c r="C39" t="str">
        <f>VLOOKUP(B39,'Document Type'!$B$6:$C$34,2,FALSE)</f>
        <v>General</v>
      </c>
      <c r="D39" s="218">
        <v>44651</v>
      </c>
      <c r="F39" t="s">
        <v>524</v>
      </c>
      <c r="G39" t="s">
        <v>148</v>
      </c>
    </row>
    <row r="40" spans="1:7" outlineLevel="1">
      <c r="A40" t="s">
        <v>525</v>
      </c>
      <c r="B40" t="s">
        <v>246</v>
      </c>
      <c r="C40" t="str">
        <f>VLOOKUP(B40,'Document Type'!$B$6:$C$34,2,FALSE)</f>
        <v>Minutes</v>
      </c>
      <c r="D40" s="218">
        <v>45016</v>
      </c>
      <c r="F40" s="14" t="s">
        <v>526</v>
      </c>
      <c r="G40" t="s">
        <v>148</v>
      </c>
    </row>
    <row r="41" spans="1:7" outlineLevel="1">
      <c r="A41" t="s">
        <v>527</v>
      </c>
      <c r="B41" t="s">
        <v>216</v>
      </c>
      <c r="C41" t="str">
        <f>VLOOKUP(B41,'Document Type'!$B$6:$C$34,2,FALSE)</f>
        <v>Register of Members</v>
      </c>
      <c r="D41" s="218">
        <v>44714</v>
      </c>
      <c r="F41" t="s">
        <v>528</v>
      </c>
      <c r="G41" t="s">
        <v>148</v>
      </c>
    </row>
    <row r="42" spans="1:7" outlineLevel="1">
      <c r="A42" t="s">
        <v>391</v>
      </c>
      <c r="B42" t="s">
        <v>216</v>
      </c>
      <c r="C42" t="str">
        <f>VLOOKUP(B42,'Document Type'!$B$6:$C$34,2,FALSE)</f>
        <v>Register of Members</v>
      </c>
      <c r="D42" s="218">
        <v>44714</v>
      </c>
      <c r="F42" t="s">
        <v>529</v>
      </c>
      <c r="G42" t="s">
        <v>148</v>
      </c>
    </row>
    <row r="43" spans="1:7" outlineLevel="1">
      <c r="A43" t="s">
        <v>393</v>
      </c>
      <c r="B43" t="s">
        <v>216</v>
      </c>
      <c r="C43" t="str">
        <f>VLOOKUP(B43,'Document Type'!$B$6:$C$34,2,FALSE)</f>
        <v>Register of Members</v>
      </c>
      <c r="D43" s="218">
        <v>45035</v>
      </c>
      <c r="F43" t="s">
        <v>530</v>
      </c>
      <c r="G43" t="s">
        <v>148</v>
      </c>
    </row>
    <row r="44" spans="1:7" outlineLevel="1">
      <c r="A44" t="s">
        <v>395</v>
      </c>
      <c r="B44" t="s">
        <v>216</v>
      </c>
      <c r="C44" t="str">
        <f>VLOOKUP(B44,'Document Type'!$B$6:$C$34,2,FALSE)</f>
        <v>Register of Members</v>
      </c>
      <c r="D44" s="218">
        <v>44714</v>
      </c>
      <c r="F44" t="s">
        <v>531</v>
      </c>
      <c r="G44" t="s">
        <v>148</v>
      </c>
    </row>
    <row r="45" spans="1:7" outlineLevel="1">
      <c r="A45" t="s">
        <v>289</v>
      </c>
      <c r="B45" t="s">
        <v>216</v>
      </c>
      <c r="C45" t="str">
        <f>VLOOKUP(B45,'Document Type'!$B$6:$C$34,2,FALSE)</f>
        <v>Register of Members</v>
      </c>
      <c r="D45" s="218">
        <v>44714</v>
      </c>
      <c r="F45" t="s">
        <v>532</v>
      </c>
      <c r="G45" t="s">
        <v>148</v>
      </c>
    </row>
    <row r="46" spans="1:7" outlineLevel="1">
      <c r="A46" t="s">
        <v>533</v>
      </c>
      <c r="B46" t="s">
        <v>216</v>
      </c>
      <c r="C46" t="str">
        <f>VLOOKUP(B46,'Document Type'!$B$6:$C$34,2,FALSE)</f>
        <v>Register of Members</v>
      </c>
      <c r="D46" s="218">
        <v>45035</v>
      </c>
      <c r="F46" t="s">
        <v>534</v>
      </c>
      <c r="G46" t="s">
        <v>148</v>
      </c>
    </row>
    <row r="47" spans="1:7" outlineLevel="1">
      <c r="A47" t="s">
        <v>533</v>
      </c>
      <c r="B47" t="s">
        <v>216</v>
      </c>
      <c r="C47" t="str">
        <f>VLOOKUP(B47,'Document Type'!$B$6:$C$34,2,FALSE)</f>
        <v>Register of Members</v>
      </c>
      <c r="D47" s="218">
        <v>44714</v>
      </c>
      <c r="F47" t="s">
        <v>535</v>
      </c>
      <c r="G47" t="s">
        <v>148</v>
      </c>
    </row>
    <row r="48" spans="1:7" outlineLevel="1">
      <c r="A48" t="s">
        <v>282</v>
      </c>
      <c r="B48" t="s">
        <v>216</v>
      </c>
      <c r="C48" t="str">
        <f>VLOOKUP(B48,'Document Type'!$B$6:$C$34,2,FALSE)</f>
        <v>Register of Members</v>
      </c>
      <c r="D48" s="218">
        <v>44714</v>
      </c>
      <c r="F48" t="s">
        <v>282</v>
      </c>
      <c r="G48" t="s">
        <v>148</v>
      </c>
    </row>
    <row r="49" spans="1:7" outlineLevel="1">
      <c r="A49" t="s">
        <v>536</v>
      </c>
      <c r="B49" t="s">
        <v>216</v>
      </c>
      <c r="C49" t="str">
        <f>VLOOKUP(B49,'Document Type'!$B$6:$C$34,2,FALSE)</f>
        <v>Register of Members</v>
      </c>
      <c r="D49" s="218">
        <v>45219</v>
      </c>
      <c r="F49" t="s">
        <v>537</v>
      </c>
      <c r="G49" t="s">
        <v>148</v>
      </c>
    </row>
    <row r="50" spans="1:7" outlineLevel="1">
      <c r="A50" t="s">
        <v>1282</v>
      </c>
      <c r="B50" t="s">
        <v>1280</v>
      </c>
      <c r="C50" t="str">
        <f>VLOOKUP(B50,'Document Type'!$B$6:$C$34,2,FALSE)</f>
        <v>BAS</v>
      </c>
      <c r="D50" s="218">
        <v>45531</v>
      </c>
      <c r="F50" t="s">
        <v>1283</v>
      </c>
      <c r="G50" t="s">
        <v>148</v>
      </c>
    </row>
    <row r="51" spans="1:7" outlineLevel="1">
      <c r="A51" t="s">
        <v>1284</v>
      </c>
      <c r="B51" t="s">
        <v>1280</v>
      </c>
      <c r="C51" t="str">
        <f>VLOOKUP(B51,'Document Type'!$B$6:$C$34,2,FALSE)</f>
        <v>BAS</v>
      </c>
      <c r="D51" s="218">
        <v>45531</v>
      </c>
      <c r="F51" t="s">
        <v>1283</v>
      </c>
      <c r="G51" t="s">
        <v>148</v>
      </c>
    </row>
    <row r="52" spans="1:7" outlineLevel="1">
      <c r="A52" t="s">
        <v>1305</v>
      </c>
      <c r="B52" t="s">
        <v>245</v>
      </c>
      <c r="C52" t="str">
        <f>VLOOKUP(B52,'Document Type'!$B$6:$C$34,2,FALSE)</f>
        <v>General</v>
      </c>
      <c r="D52" s="218">
        <v>45562</v>
      </c>
      <c r="F52" t="s">
        <v>1303</v>
      </c>
      <c r="G52" t="s">
        <v>439</v>
      </c>
    </row>
    <row r="53" spans="1:7" outlineLevel="1">
      <c r="A53" t="s">
        <v>1304</v>
      </c>
      <c r="B53" t="s">
        <v>245</v>
      </c>
      <c r="C53" t="str">
        <f>VLOOKUP(B53,'Document Type'!$B$6:$C$34,2,FALSE)</f>
        <v>General</v>
      </c>
      <c r="D53" s="218">
        <v>45562</v>
      </c>
      <c r="F53" t="s">
        <v>1307</v>
      </c>
      <c r="G53" t="s">
        <v>439</v>
      </c>
    </row>
    <row r="54" spans="1:7" outlineLevel="1">
      <c r="A54" t="s">
        <v>1306</v>
      </c>
      <c r="B54" t="s">
        <v>245</v>
      </c>
      <c r="C54" t="str">
        <f>VLOOKUP(B54,'Document Type'!$B$6:$C$34,2,FALSE)</f>
        <v>General</v>
      </c>
      <c r="D54" s="218">
        <v>45562</v>
      </c>
      <c r="F54" t="s">
        <v>1308</v>
      </c>
      <c r="G54" t="s">
        <v>439</v>
      </c>
    </row>
    <row r="55" spans="1:7" outlineLevel="1">
      <c r="A55" t="s">
        <v>1310</v>
      </c>
      <c r="B55" t="s">
        <v>245</v>
      </c>
      <c r="C55" t="str">
        <f>VLOOKUP(B55,'Document Type'!$B$6:$C$34,2,FALSE)</f>
        <v>General</v>
      </c>
      <c r="D55" s="218">
        <v>45562</v>
      </c>
      <c r="F55" t="s">
        <v>1309</v>
      </c>
      <c r="G55" t="s">
        <v>439</v>
      </c>
    </row>
    <row r="56" spans="1:7" outlineLevel="1">
      <c r="A56" t="s">
        <v>1337</v>
      </c>
      <c r="B56" t="s">
        <v>229</v>
      </c>
      <c r="C56" t="str">
        <f>VLOOKUP(B56,'Document Type'!$B$6:$C$34,2,FALSE)</f>
        <v>Assets</v>
      </c>
      <c r="D56" s="218">
        <v>45600</v>
      </c>
      <c r="F56" t="s">
        <v>1336</v>
      </c>
      <c r="G56" t="s">
        <v>148</v>
      </c>
    </row>
    <row r="57" spans="1:7" outlineLevel="1">
      <c r="C57" t="e">
        <f>VLOOKUP(B57,'Document Type'!$B$6:$C$34,2,FALSE)</f>
        <v>#N/A</v>
      </c>
    </row>
    <row r="58" spans="1:7" outlineLevel="1">
      <c r="C58" t="e">
        <f>VLOOKUP(B58,'Document Type'!$B$6:$C$34,2,FALSE)</f>
        <v>#N/A</v>
      </c>
    </row>
    <row r="59" spans="1:7" outlineLevel="1">
      <c r="C59" t="e">
        <f>VLOOKUP(B59,'Document Type'!$B$6:$C$34,2,FALSE)</f>
        <v>#N/A</v>
      </c>
    </row>
    <row r="60" spans="1:7" outlineLevel="1">
      <c r="C60" t="e">
        <f>VLOOKUP(B60,'Document Type'!$B$6:$C$34,2,FALSE)</f>
        <v>#N/A</v>
      </c>
    </row>
    <row r="61" spans="1:7" outlineLevel="1">
      <c r="C61" t="e">
        <f>VLOOKUP(B61,'Document Type'!$B$6:$C$34,2,FALSE)</f>
        <v>#N/A</v>
      </c>
    </row>
    <row r="62" spans="1:7" outlineLevel="1">
      <c r="C62" t="e">
        <f>VLOOKUP(B62,'Document Type'!$B$6:$C$34,2,FALSE)</f>
        <v>#N/A</v>
      </c>
    </row>
    <row r="63" spans="1:7" outlineLevel="1">
      <c r="C63" t="e">
        <f>VLOOKUP(B63,'Document Type'!$B$6:$C$34,2,FALSE)</f>
        <v>#N/A</v>
      </c>
    </row>
    <row r="65" spans="1:17" ht="15.9">
      <c r="A65" s="170" t="s">
        <v>289</v>
      </c>
    </row>
    <row r="66" spans="1:17">
      <c r="A66" s="350" t="s">
        <v>265</v>
      </c>
      <c r="B66" s="350" t="s">
        <v>290</v>
      </c>
      <c r="C66" s="350" t="s">
        <v>291</v>
      </c>
      <c r="D66" s="351" t="s">
        <v>292</v>
      </c>
      <c r="E66" s="350" t="s">
        <v>293</v>
      </c>
      <c r="F66" s="350" t="s">
        <v>294</v>
      </c>
      <c r="G66" s="352" t="s">
        <v>295</v>
      </c>
      <c r="H66" s="353" t="s">
        <v>296</v>
      </c>
      <c r="I66" s="354" t="s">
        <v>297</v>
      </c>
      <c r="J66" s="199" t="s">
        <v>298</v>
      </c>
      <c r="K66" s="199" t="s">
        <v>299</v>
      </c>
      <c r="L66" s="199" t="s">
        <v>300</v>
      </c>
      <c r="M66" s="354" t="s">
        <v>301</v>
      </c>
      <c r="N66" s="199" t="s">
        <v>302</v>
      </c>
      <c r="O66" s="199" t="s">
        <v>303</v>
      </c>
      <c r="P66" s="199" t="s">
        <v>304</v>
      </c>
      <c r="Q66" s="199"/>
    </row>
    <row r="67" spans="1:17" hidden="1" outlineLevel="1">
      <c r="A67" s="140">
        <v>44651</v>
      </c>
      <c r="B67" s="93" t="s">
        <v>437</v>
      </c>
      <c r="C67" s="93" t="s">
        <v>402</v>
      </c>
      <c r="D67" s="93"/>
      <c r="E67" s="93">
        <v>1</v>
      </c>
      <c r="F67" s="93">
        <v>100</v>
      </c>
      <c r="G67" s="93">
        <v>100</v>
      </c>
      <c r="H67" s="93"/>
      <c r="I67" s="209">
        <v>1</v>
      </c>
      <c r="J67" s="93"/>
      <c r="K67" s="93" t="s">
        <v>403</v>
      </c>
      <c r="L67" s="93">
        <v>100</v>
      </c>
      <c r="M67" s="209">
        <v>100</v>
      </c>
      <c r="N67" s="93" t="s">
        <v>403</v>
      </c>
      <c r="O67" s="93" t="s">
        <v>440</v>
      </c>
      <c r="P67" s="93"/>
    </row>
    <row r="68" spans="1:17" hidden="1" outlineLevel="1">
      <c r="A68" s="140">
        <v>44875</v>
      </c>
      <c r="B68" s="93" t="s">
        <v>437</v>
      </c>
      <c r="C68" s="93" t="s">
        <v>402</v>
      </c>
      <c r="D68" s="93"/>
      <c r="E68" s="93">
        <v>101</v>
      </c>
      <c r="F68" s="93">
        <v>100100</v>
      </c>
      <c r="G68" s="93">
        <v>100000</v>
      </c>
      <c r="H68" s="93"/>
      <c r="I68" s="209">
        <v>1</v>
      </c>
      <c r="J68" s="93"/>
      <c r="K68" s="93" t="s">
        <v>403</v>
      </c>
      <c r="L68" s="93">
        <v>100100</v>
      </c>
      <c r="M68" s="209">
        <v>100000</v>
      </c>
      <c r="N68" s="93" t="s">
        <v>403</v>
      </c>
      <c r="O68" s="93" t="s">
        <v>440</v>
      </c>
      <c r="P68" s="93"/>
    </row>
    <row r="69" spans="1:17" hidden="1" outlineLevel="1">
      <c r="A69" s="140">
        <v>45261</v>
      </c>
      <c r="B69" s="93" t="s">
        <v>437</v>
      </c>
      <c r="C69" s="93" t="s">
        <v>402</v>
      </c>
      <c r="D69" s="93"/>
      <c r="E69" s="93">
        <v>100101</v>
      </c>
      <c r="F69" s="93">
        <v>400100</v>
      </c>
      <c r="G69" s="93">
        <v>300000</v>
      </c>
      <c r="H69" s="93"/>
      <c r="I69" s="209">
        <v>1</v>
      </c>
      <c r="J69" s="93"/>
      <c r="K69" s="93" t="s">
        <v>403</v>
      </c>
      <c r="L69" s="93">
        <v>400100</v>
      </c>
      <c r="M69" s="209">
        <v>300000</v>
      </c>
      <c r="N69" s="93" t="s">
        <v>403</v>
      </c>
      <c r="O69" s="93" t="s">
        <v>440</v>
      </c>
      <c r="P69" s="93"/>
    </row>
    <row r="70" spans="1:17" collapsed="1">
      <c r="A70" s="93"/>
      <c r="B70" s="93"/>
      <c r="C70" s="93"/>
      <c r="D70" s="93"/>
      <c r="E70" s="93"/>
      <c r="F70" s="93"/>
      <c r="G70" s="93"/>
      <c r="H70" s="93"/>
      <c r="I70" s="209"/>
      <c r="J70" s="93"/>
      <c r="K70" s="93"/>
      <c r="L70" s="93"/>
      <c r="M70" s="209"/>
      <c r="N70" s="93"/>
      <c r="O70" s="93"/>
      <c r="P70" s="93"/>
    </row>
    <row r="71" spans="1:17" ht="15.9">
      <c r="A71" s="170" t="s">
        <v>305</v>
      </c>
    </row>
    <row r="72" spans="1:17">
      <c r="A72" t="s">
        <v>224</v>
      </c>
      <c r="B72" t="s">
        <v>306</v>
      </c>
      <c r="C72" t="s">
        <v>307</v>
      </c>
      <c r="D72" t="s">
        <v>265</v>
      </c>
      <c r="E72" t="s">
        <v>308</v>
      </c>
      <c r="F72" t="s">
        <v>256</v>
      </c>
    </row>
    <row r="73" spans="1:17" hidden="1" outlineLevel="1">
      <c r="A73" t="s">
        <v>538</v>
      </c>
      <c r="B73" t="s">
        <v>507</v>
      </c>
      <c r="C73" s="112">
        <v>3000000</v>
      </c>
      <c r="D73" s="218">
        <v>45219</v>
      </c>
      <c r="E73" t="s">
        <v>237</v>
      </c>
      <c r="F73" t="s">
        <v>237</v>
      </c>
    </row>
    <row r="74" spans="1:17" hidden="1" outlineLevel="1">
      <c r="C74" s="112"/>
      <c r="D74" s="218"/>
    </row>
    <row r="75" spans="1:17" collapsed="1"/>
    <row r="76" spans="1:17" ht="15.9">
      <c r="A76" s="170" t="s">
        <v>309</v>
      </c>
    </row>
    <row r="77" spans="1:17">
      <c r="A77" t="s">
        <v>310</v>
      </c>
      <c r="B77" t="s">
        <v>311</v>
      </c>
      <c r="C77" t="s">
        <v>312</v>
      </c>
      <c r="D77" t="s">
        <v>313</v>
      </c>
      <c r="E77" t="s">
        <v>314</v>
      </c>
      <c r="F77" t="s">
        <v>315</v>
      </c>
    </row>
    <row r="78" spans="1:17" ht="15" hidden="1" customHeight="1" outlineLevel="1">
      <c r="F78">
        <f>Table791333[[#This Row],[Purchase Price]]-Table791333[[#This Row],[Sale Price]]</f>
        <v>0</v>
      </c>
    </row>
    <row r="79" spans="1:17" hidden="1" outlineLevel="1">
      <c r="F79">
        <f>Table791333[[#This Row],[Purchase Price]]-Table791333[[#This Row],[Sale Price]]</f>
        <v>0</v>
      </c>
    </row>
    <row r="80" spans="1:17" hidden="1" outlineLevel="1">
      <c r="F80">
        <f>Table791333[[#This Row],[Purchase Price]]-Table791333[[#This Row],[Sale Price]]</f>
        <v>0</v>
      </c>
    </row>
    <row r="81" collapsed="1"/>
  </sheetData>
  <mergeCells count="7">
    <mergeCell ref="B17:C17"/>
    <mergeCell ref="A3:G3"/>
    <mergeCell ref="B6:C6"/>
    <mergeCell ref="F11:G11"/>
    <mergeCell ref="B15:C15"/>
    <mergeCell ref="B16:C16"/>
    <mergeCell ref="F16:G16"/>
  </mergeCells>
  <hyperlinks>
    <hyperlink ref="A1" location="'All Companies'!A1" display="All Companies" xr:uid="{B92395E9-4CE9-4A32-9AF6-84A5B78B9A82}"/>
    <hyperlink ref="B25" r:id="rId1" xr:uid="{9EE4CB7C-1A5A-40AF-B80D-4528432C17A0}"/>
    <hyperlink ref="F30" r:id="rId2" display="../../../../:b:/g/personal/robert_tekna_com_au/EVg6BP2KRstMtKt-QQQJ3a8BDq4msxWoMj7U963Wf3mRkA?e=D1BT2b" xr:uid="{10F06610-2499-4040-ACA8-FB7B639C9517}"/>
  </hyperlinks>
  <pageMargins left="0.7" right="0.7" top="0.75" bottom="0.75" header="0.3" footer="0.3"/>
  <tableParts count="4">
    <tablePart r:id="rId3"/>
    <tablePart r:id="rId4"/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A36AB5F-F7A8-4F63-82D2-01176685C41E}">
          <x14:formula1>
            <xm:f>'Document Type'!$B$49:$B$51</xm:f>
          </x14:formula1>
          <xm:sqref>B10:B11</xm:sqref>
        </x14:dataValidation>
        <x14:dataValidation type="list" allowBlank="1" showInputMessage="1" showErrorMessage="1" xr:uid="{D2612D49-CEED-4F39-8220-DEAD85F92797}">
          <x14:formula1>
            <xm:f>'Document Type'!$B$45:$B$47</xm:f>
          </x14:formula1>
          <xm:sqref>B8 F8</xm:sqref>
        </x14:dataValidation>
        <x14:dataValidation type="list" allowBlank="1" showInputMessage="1" showErrorMessage="1" xr:uid="{DB0A13DA-7274-4803-81A8-73FD553C2802}">
          <x14:formula1>
            <xm:f>'Document Type'!$B$38:$B$39</xm:f>
          </x14:formula1>
          <xm:sqref>E16 F13:F14 B13:B14 F6</xm:sqref>
        </x14:dataValidation>
        <x14:dataValidation type="list" allowBlank="1" showInputMessage="1" showErrorMessage="1" xr:uid="{A55B2CF8-DF52-418F-8F7C-A1CBF35CD8E7}">
          <x14:formula1>
            <xm:f>'Document Type'!$B$6:$B$34</xm:f>
          </x14:formula1>
          <xm:sqref>B28:B63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BEED-AC20-4D0F-9C6B-774F7F4814E4}">
  <dimension ref="B1:Q147"/>
  <sheetViews>
    <sheetView zoomScale="90" zoomScaleNormal="90" workbookViewId="0">
      <selection activeCell="C23" sqref="C23"/>
    </sheetView>
  </sheetViews>
  <sheetFormatPr defaultColWidth="8.69140625" defaultRowHeight="14.6" outlineLevelRow="1"/>
  <cols>
    <col min="1" max="1" width="1.4609375" customWidth="1"/>
    <col min="2" max="2" width="42.4609375" bestFit="1" customWidth="1"/>
    <col min="3" max="3" width="42.69140625" bestFit="1" customWidth="1"/>
    <col min="4" max="4" width="29.15234375" customWidth="1"/>
    <col min="5" max="5" width="18.3046875" bestFit="1" customWidth="1"/>
    <col min="6" max="6" width="28.15234375" bestFit="1" customWidth="1"/>
    <col min="7" max="7" width="46.69140625" bestFit="1" customWidth="1"/>
    <col min="8" max="8" width="36.4609375" bestFit="1" customWidth="1"/>
    <col min="9" max="9" width="17.3046875" bestFit="1" customWidth="1"/>
    <col min="10" max="10" width="20.4609375" customWidth="1"/>
    <col min="11" max="11" width="76.3046875" bestFit="1" customWidth="1"/>
    <col min="12" max="12" width="25.3046875" bestFit="1" customWidth="1"/>
    <col min="13" max="13" width="29.69140625" bestFit="1" customWidth="1"/>
    <col min="14" max="14" width="34.15234375" bestFit="1" customWidth="1"/>
    <col min="15" max="15" width="32.3046875" bestFit="1" customWidth="1"/>
    <col min="16" max="16" width="48.4609375" bestFit="1" customWidth="1"/>
    <col min="17" max="17" width="25.69140625" bestFit="1" customWidth="1"/>
    <col min="18" max="18" width="8.3046875" customWidth="1"/>
  </cols>
  <sheetData>
    <row r="1" spans="2:10">
      <c r="B1" s="69" t="s">
        <v>195</v>
      </c>
    </row>
    <row r="2" spans="2:10" ht="15" thickBot="1"/>
    <row r="3" spans="2:10" ht="26.8" customHeight="1" thickBot="1">
      <c r="B3" s="373" t="s">
        <v>539</v>
      </c>
      <c r="C3" s="374"/>
      <c r="D3" s="374"/>
      <c r="E3" s="374"/>
      <c r="F3" s="374"/>
      <c r="G3" s="374"/>
      <c r="H3" s="375"/>
      <c r="J3" s="334" t="s">
        <v>333</v>
      </c>
    </row>
    <row r="4" spans="2:10" ht="17.8" customHeight="1">
      <c r="B4" s="245" t="s">
        <v>201</v>
      </c>
      <c r="C4" s="287" t="s">
        <v>540</v>
      </c>
      <c r="D4" s="273" t="s">
        <v>202</v>
      </c>
      <c r="E4" s="287" t="s">
        <v>541</v>
      </c>
      <c r="F4" s="93"/>
      <c r="G4" s="273" t="s">
        <v>203</v>
      </c>
      <c r="H4" s="335" t="s">
        <v>542</v>
      </c>
      <c r="J4" t="s">
        <v>334</v>
      </c>
    </row>
    <row r="5" spans="2:10">
      <c r="B5" s="250" t="s">
        <v>206</v>
      </c>
      <c r="C5" s="254">
        <v>41109</v>
      </c>
      <c r="D5" s="254"/>
      <c r="E5" s="256"/>
      <c r="F5" s="274" t="s">
        <v>207</v>
      </c>
      <c r="G5" s="284">
        <v>100</v>
      </c>
      <c r="H5" s="257"/>
      <c r="J5" t="s">
        <v>543</v>
      </c>
    </row>
    <row r="6" spans="2:10">
      <c r="B6" s="251" t="s">
        <v>210</v>
      </c>
      <c r="C6" s="376" t="s">
        <v>544</v>
      </c>
      <c r="D6" s="376"/>
      <c r="E6" s="232"/>
      <c r="F6" s="275" t="s">
        <v>211</v>
      </c>
      <c r="G6" s="232" t="s">
        <v>212</v>
      </c>
      <c r="H6" s="276"/>
    </row>
    <row r="7" spans="2:10">
      <c r="B7" s="250" t="s">
        <v>503</v>
      </c>
      <c r="C7" s="256"/>
      <c r="D7" s="256"/>
      <c r="E7" s="254"/>
      <c r="F7" s="256"/>
      <c r="G7" s="256"/>
      <c r="H7" s="257"/>
    </row>
    <row r="8" spans="2:10">
      <c r="B8" s="249" t="s">
        <v>218</v>
      </c>
      <c r="C8" s="232" t="s">
        <v>221</v>
      </c>
      <c r="D8" s="232"/>
      <c r="E8" s="252"/>
      <c r="F8" s="275" t="s">
        <v>220</v>
      </c>
      <c r="G8" s="232" t="s">
        <v>221</v>
      </c>
      <c r="H8" s="276"/>
    </row>
    <row r="9" spans="2:10">
      <c r="B9" s="259"/>
      <c r="C9" s="256"/>
      <c r="D9" s="256" t="s">
        <v>224</v>
      </c>
      <c r="E9" s="254"/>
      <c r="F9" s="256"/>
      <c r="G9" s="256"/>
      <c r="H9" s="257"/>
    </row>
    <row r="10" spans="2:10">
      <c r="B10" s="249" t="s">
        <v>227</v>
      </c>
      <c r="C10" s="277" t="s">
        <v>504</v>
      </c>
      <c r="D10" s="252">
        <v>44571</v>
      </c>
      <c r="E10" s="232"/>
      <c r="F10" s="232"/>
      <c r="G10" s="232"/>
      <c r="H10" s="276"/>
    </row>
    <row r="11" spans="2:10">
      <c r="B11" s="250" t="s">
        <v>231</v>
      </c>
      <c r="C11" s="288" t="s">
        <v>504</v>
      </c>
      <c r="D11" s="254">
        <v>44286</v>
      </c>
      <c r="E11" s="256"/>
      <c r="F11" s="256"/>
      <c r="G11" s="256"/>
      <c r="H11" s="257"/>
    </row>
    <row r="12" spans="2:10">
      <c r="B12" s="240"/>
      <c r="C12" s="232"/>
      <c r="D12" s="232"/>
      <c r="E12" s="252"/>
      <c r="F12" s="232"/>
      <c r="G12" s="232"/>
      <c r="H12" s="276"/>
    </row>
    <row r="13" spans="2:10">
      <c r="B13" s="250" t="s">
        <v>236</v>
      </c>
      <c r="C13" s="237" t="s">
        <v>237</v>
      </c>
      <c r="D13" s="256"/>
      <c r="E13" s="256"/>
      <c r="F13" s="274" t="s">
        <v>238</v>
      </c>
      <c r="G13" s="237"/>
      <c r="H13" s="257"/>
    </row>
    <row r="14" spans="2:10">
      <c r="B14" s="242"/>
      <c r="C14" s="233"/>
      <c r="D14" s="233"/>
      <c r="E14" s="232" t="s">
        <v>240</v>
      </c>
      <c r="F14" s="232" t="s">
        <v>241</v>
      </c>
      <c r="G14" s="232"/>
      <c r="H14" s="276"/>
    </row>
    <row r="15" spans="2:10">
      <c r="B15" s="250" t="s">
        <v>243</v>
      </c>
      <c r="C15" s="380" t="s">
        <v>505</v>
      </c>
      <c r="D15" s="381"/>
      <c r="E15" s="256">
        <v>100</v>
      </c>
      <c r="F15" s="237" t="s">
        <v>237</v>
      </c>
      <c r="G15" s="256"/>
      <c r="H15" s="257"/>
    </row>
    <row r="16" spans="2:10">
      <c r="B16" s="242"/>
      <c r="C16" s="233"/>
      <c r="D16" s="233"/>
      <c r="E16" s="232"/>
      <c r="F16" s="232"/>
      <c r="G16" s="232"/>
      <c r="H16" s="276"/>
    </row>
    <row r="17" spans="2:8">
      <c r="B17" s="250" t="s">
        <v>247</v>
      </c>
      <c r="C17" s="256" t="s">
        <v>248</v>
      </c>
      <c r="D17" s="256" t="s">
        <v>82</v>
      </c>
      <c r="E17" s="254" t="s">
        <v>83</v>
      </c>
      <c r="F17" s="256" t="s">
        <v>249</v>
      </c>
      <c r="G17" s="256"/>
      <c r="H17" s="257"/>
    </row>
    <row r="18" spans="2:8" ht="15" customHeight="1">
      <c r="B18" s="240"/>
      <c r="C18" s="232" t="s">
        <v>251</v>
      </c>
      <c r="D18" s="307" t="s">
        <v>252</v>
      </c>
      <c r="E18" s="232">
        <v>922875532</v>
      </c>
      <c r="F18" s="252">
        <v>44663</v>
      </c>
      <c r="G18" s="232"/>
      <c r="H18" s="276"/>
    </row>
    <row r="19" spans="2:8" ht="15" customHeight="1">
      <c r="B19" s="259"/>
      <c r="C19" s="256" t="s">
        <v>317</v>
      </c>
      <c r="D19" s="256" t="s">
        <v>341</v>
      </c>
      <c r="E19" s="260">
        <v>699626</v>
      </c>
      <c r="F19" s="254">
        <v>45282</v>
      </c>
      <c r="G19" s="256"/>
      <c r="H19" s="257"/>
    </row>
    <row r="20" spans="2:8" ht="15" customHeight="1">
      <c r="B20" s="240"/>
      <c r="C20" s="232"/>
      <c r="D20" s="232"/>
      <c r="E20" s="252"/>
      <c r="F20" s="232"/>
      <c r="G20" s="232"/>
      <c r="H20" s="276"/>
    </row>
    <row r="21" spans="2:8" ht="15" customHeight="1">
      <c r="B21" s="259"/>
      <c r="C21" s="256"/>
      <c r="D21" s="256"/>
      <c r="E21" s="254"/>
      <c r="F21" s="256"/>
      <c r="G21" s="256"/>
      <c r="H21" s="257"/>
    </row>
    <row r="22" spans="2:8" ht="15" customHeight="1" thickBot="1">
      <c r="B22" s="336"/>
      <c r="C22" s="337"/>
      <c r="D22" s="337"/>
      <c r="E22" s="338"/>
      <c r="F22" s="337"/>
      <c r="G22" s="337"/>
      <c r="H22" s="339"/>
    </row>
    <row r="24" spans="2:8">
      <c r="B24" t="s">
        <v>259</v>
      </c>
      <c r="C24" s="69" t="s">
        <v>538</v>
      </c>
      <c r="D24" t="s">
        <v>260</v>
      </c>
      <c r="E24" t="s">
        <v>545</v>
      </c>
    </row>
    <row r="26" spans="2:8">
      <c r="B26" s="355" t="s">
        <v>262</v>
      </c>
      <c r="C26" s="355" t="s">
        <v>263</v>
      </c>
      <c r="D26" s="355" t="s">
        <v>264</v>
      </c>
      <c r="E26" s="356" t="s">
        <v>265</v>
      </c>
      <c r="F26" s="355" t="s">
        <v>266</v>
      </c>
      <c r="G26" s="355" t="s">
        <v>267</v>
      </c>
      <c r="H26" s="357" t="s">
        <v>268</v>
      </c>
    </row>
    <row r="27" spans="2:8" outlineLevel="1">
      <c r="B27" t="s">
        <v>546</v>
      </c>
      <c r="C27" t="s">
        <v>213</v>
      </c>
      <c r="D27" t="str">
        <f>VLOOKUP(C27,'Document Type'!$B$6:$C$34,2,FALSE)</f>
        <v>Constitution</v>
      </c>
      <c r="E27" s="218">
        <v>41109</v>
      </c>
      <c r="F27" s="93" t="s">
        <v>212</v>
      </c>
      <c r="G27" s="69" t="s">
        <v>547</v>
      </c>
      <c r="H27" t="s">
        <v>148</v>
      </c>
    </row>
    <row r="28" spans="2:8" outlineLevel="1">
      <c r="B28" t="s">
        <v>204</v>
      </c>
      <c r="C28" t="s">
        <v>204</v>
      </c>
      <c r="D28" t="str">
        <f>VLOOKUP(C28,'Document Type'!$B$6:$C$34,2,FALSE)</f>
        <v>Company Setup</v>
      </c>
      <c r="E28" s="218">
        <v>41109</v>
      </c>
      <c r="F28" s="93" t="s">
        <v>212</v>
      </c>
      <c r="G28" t="s">
        <v>548</v>
      </c>
      <c r="H28" t="s">
        <v>148</v>
      </c>
    </row>
    <row r="29" spans="2:8" outlineLevel="1">
      <c r="B29" t="s">
        <v>549</v>
      </c>
      <c r="C29" t="s">
        <v>216</v>
      </c>
      <c r="D29" t="str">
        <f>VLOOKUP(C29,'Document Type'!$B$6:$C$34,2,FALSE)</f>
        <v>Register of Members</v>
      </c>
      <c r="E29" s="218">
        <v>41109</v>
      </c>
      <c r="F29" s="93" t="s">
        <v>212</v>
      </c>
      <c r="G29" t="s">
        <v>549</v>
      </c>
      <c r="H29" t="s">
        <v>148</v>
      </c>
    </row>
    <row r="30" spans="2:8" outlineLevel="1">
      <c r="B30" t="s">
        <v>550</v>
      </c>
      <c r="C30" t="s">
        <v>216</v>
      </c>
      <c r="D30" t="str">
        <f>VLOOKUP(C30,'Document Type'!$B$6:$C$34,2,FALSE)</f>
        <v>Register of Members</v>
      </c>
      <c r="E30" s="218">
        <v>41109</v>
      </c>
      <c r="F30" s="93" t="s">
        <v>212</v>
      </c>
      <c r="G30" t="s">
        <v>550</v>
      </c>
      <c r="H30" t="s">
        <v>148</v>
      </c>
    </row>
    <row r="31" spans="2:8" outlineLevel="1">
      <c r="B31" t="s">
        <v>551</v>
      </c>
      <c r="C31" t="s">
        <v>552</v>
      </c>
      <c r="D31" t="str">
        <f>VLOOKUP(C31,'Document Type'!$B$6:$C$34,2,FALSE)</f>
        <v>General</v>
      </c>
      <c r="E31" s="218">
        <v>41114</v>
      </c>
      <c r="F31" s="93" t="s">
        <v>212</v>
      </c>
      <c r="G31" t="s">
        <v>551</v>
      </c>
      <c r="H31" t="s">
        <v>148</v>
      </c>
    </row>
    <row r="32" spans="2:8" outlineLevel="1">
      <c r="B32" t="s">
        <v>553</v>
      </c>
      <c r="C32" t="s">
        <v>208</v>
      </c>
      <c r="D32" t="str">
        <f>VLOOKUP(C32,'Document Type'!$B$6:$C$34,2,FALSE)</f>
        <v>General</v>
      </c>
      <c r="E32" s="218">
        <v>41474</v>
      </c>
      <c r="F32" s="93" t="s">
        <v>212</v>
      </c>
      <c r="G32" t="s">
        <v>553</v>
      </c>
      <c r="H32" t="s">
        <v>148</v>
      </c>
    </row>
    <row r="33" spans="2:8" outlineLevel="1">
      <c r="B33" t="s">
        <v>554</v>
      </c>
      <c r="C33" t="s">
        <v>208</v>
      </c>
      <c r="D33" t="str">
        <f>VLOOKUP(C33,'Document Type'!$B$6:$C$34,2,FALSE)</f>
        <v>General</v>
      </c>
      <c r="E33" s="218">
        <v>41839</v>
      </c>
      <c r="F33" s="93" t="s">
        <v>212</v>
      </c>
      <c r="G33" t="s">
        <v>554</v>
      </c>
      <c r="H33" t="s">
        <v>148</v>
      </c>
    </row>
    <row r="34" spans="2:8" outlineLevel="1">
      <c r="B34" t="s">
        <v>555</v>
      </c>
      <c r="C34" t="s">
        <v>208</v>
      </c>
      <c r="D34" t="str">
        <f>VLOOKUP(C34,'Document Type'!$B$6:$C$34,2,FALSE)</f>
        <v>General</v>
      </c>
      <c r="E34" s="218">
        <v>42204</v>
      </c>
      <c r="F34" s="93" t="s">
        <v>212</v>
      </c>
      <c r="G34" t="s">
        <v>555</v>
      </c>
      <c r="H34" t="s">
        <v>148</v>
      </c>
    </row>
    <row r="35" spans="2:8" outlineLevel="1">
      <c r="B35" t="s">
        <v>556</v>
      </c>
      <c r="C35" t="s">
        <v>208</v>
      </c>
      <c r="D35" t="str">
        <f>VLOOKUP(C35,'Document Type'!$B$6:$C$34,2,FALSE)</f>
        <v>General</v>
      </c>
      <c r="E35" s="218">
        <v>42570</v>
      </c>
      <c r="F35" s="93" t="s">
        <v>212</v>
      </c>
      <c r="G35" t="s">
        <v>556</v>
      </c>
      <c r="H35" t="s">
        <v>148</v>
      </c>
    </row>
    <row r="36" spans="2:8" outlineLevel="1">
      <c r="B36" t="s">
        <v>557</v>
      </c>
      <c r="C36" t="s">
        <v>208</v>
      </c>
      <c r="D36" t="str">
        <f>VLOOKUP(C36,'Document Type'!$B$6:$C$34,2,FALSE)</f>
        <v>General</v>
      </c>
      <c r="E36" s="218">
        <v>42935</v>
      </c>
      <c r="F36" s="93" t="s">
        <v>212</v>
      </c>
      <c r="G36" t="s">
        <v>557</v>
      </c>
      <c r="H36" t="s">
        <v>148</v>
      </c>
    </row>
    <row r="37" spans="2:8" outlineLevel="1">
      <c r="B37" t="s">
        <v>558</v>
      </c>
      <c r="C37" t="s">
        <v>242</v>
      </c>
      <c r="D37" t="str">
        <f>VLOOKUP(C37,'Document Type'!$B$6:$C$34,2,FALSE)</f>
        <v>General</v>
      </c>
      <c r="E37" s="218">
        <v>42978</v>
      </c>
      <c r="F37" s="93" t="s">
        <v>212</v>
      </c>
      <c r="G37" t="s">
        <v>558</v>
      </c>
      <c r="H37" t="s">
        <v>148</v>
      </c>
    </row>
    <row r="38" spans="2:8" outlineLevel="1">
      <c r="B38" t="s">
        <v>559</v>
      </c>
      <c r="C38" t="s">
        <v>242</v>
      </c>
      <c r="D38" t="str">
        <f>VLOOKUP(C38,'Document Type'!$B$6:$C$34,2,FALSE)</f>
        <v>General</v>
      </c>
      <c r="E38" s="218">
        <v>42978</v>
      </c>
      <c r="F38" s="93" t="s">
        <v>212</v>
      </c>
      <c r="G38" t="s">
        <v>559</v>
      </c>
      <c r="H38" t="s">
        <v>148</v>
      </c>
    </row>
    <row r="39" spans="2:8" outlineLevel="1">
      <c r="B39" t="s">
        <v>560</v>
      </c>
      <c r="C39" t="s">
        <v>208</v>
      </c>
      <c r="D39" t="str">
        <f>VLOOKUP(C39,'Document Type'!$B$6:$C$34,2,FALSE)</f>
        <v>General</v>
      </c>
      <c r="E39" s="218">
        <v>43300</v>
      </c>
      <c r="F39" s="93" t="s">
        <v>212</v>
      </c>
      <c r="G39" t="s">
        <v>560</v>
      </c>
      <c r="H39" t="s">
        <v>148</v>
      </c>
    </row>
    <row r="40" spans="2:8" outlineLevel="1">
      <c r="B40" t="s">
        <v>561</v>
      </c>
      <c r="C40" t="s">
        <v>208</v>
      </c>
      <c r="D40" t="str">
        <f>VLOOKUP(C40,'Document Type'!$B$6:$C$34,2,FALSE)</f>
        <v>General</v>
      </c>
      <c r="E40" s="218">
        <v>43665</v>
      </c>
      <c r="F40" s="93" t="s">
        <v>212</v>
      </c>
      <c r="G40" t="s">
        <v>561</v>
      </c>
      <c r="H40" t="s">
        <v>148</v>
      </c>
    </row>
    <row r="41" spans="2:8" outlineLevel="1">
      <c r="B41" t="s">
        <v>562</v>
      </c>
      <c r="C41" t="s">
        <v>225</v>
      </c>
      <c r="D41" t="str">
        <f>VLOOKUP(C41,'Document Type'!$B$6:$C$34,2,FALSE)</f>
        <v>General</v>
      </c>
      <c r="E41" s="218">
        <v>44012</v>
      </c>
      <c r="F41" s="93" t="s">
        <v>212</v>
      </c>
      <c r="G41" t="s">
        <v>562</v>
      </c>
      <c r="H41" t="s">
        <v>148</v>
      </c>
    </row>
    <row r="42" spans="2:8" outlineLevel="1">
      <c r="B42" t="s">
        <v>563</v>
      </c>
      <c r="C42" t="s">
        <v>208</v>
      </c>
      <c r="D42" t="str">
        <f>VLOOKUP(C42,'Document Type'!$B$6:$C$34,2,FALSE)</f>
        <v>General</v>
      </c>
      <c r="E42" s="218">
        <v>44031</v>
      </c>
      <c r="F42" s="93" t="s">
        <v>212</v>
      </c>
      <c r="G42" t="s">
        <v>563</v>
      </c>
      <c r="H42" t="s">
        <v>148</v>
      </c>
    </row>
    <row r="43" spans="2:8" outlineLevel="1">
      <c r="B43" t="s">
        <v>564</v>
      </c>
      <c r="C43" t="s">
        <v>225</v>
      </c>
      <c r="D43" t="str">
        <f>VLOOKUP(C43,'Document Type'!$B$6:$C$34,2,FALSE)</f>
        <v>General</v>
      </c>
      <c r="E43" s="218">
        <v>44377</v>
      </c>
      <c r="F43" s="93" t="s">
        <v>212</v>
      </c>
      <c r="G43" t="s">
        <v>564</v>
      </c>
      <c r="H43" t="s">
        <v>148</v>
      </c>
    </row>
    <row r="44" spans="2:8" outlineLevel="1">
      <c r="B44" t="s">
        <v>565</v>
      </c>
      <c r="C44" t="s">
        <v>225</v>
      </c>
      <c r="D44" t="str">
        <f>VLOOKUP(C44,'Document Type'!$B$6:$C$34,2,FALSE)</f>
        <v>General</v>
      </c>
      <c r="E44" s="218">
        <v>44377</v>
      </c>
      <c r="F44" s="93" t="s">
        <v>212</v>
      </c>
      <c r="G44" t="s">
        <v>565</v>
      </c>
      <c r="H44" t="s">
        <v>148</v>
      </c>
    </row>
    <row r="45" spans="2:8" outlineLevel="1">
      <c r="B45" t="s">
        <v>566</v>
      </c>
      <c r="C45" t="s">
        <v>208</v>
      </c>
      <c r="D45" t="str">
        <f>VLOOKUP(C45,'Document Type'!$B$6:$C$34,2,FALSE)</f>
        <v>General</v>
      </c>
      <c r="E45" s="218">
        <v>44396</v>
      </c>
      <c r="F45" s="93" t="s">
        <v>212</v>
      </c>
      <c r="G45" t="s">
        <v>566</v>
      </c>
      <c r="H45" t="s">
        <v>148</v>
      </c>
    </row>
    <row r="46" spans="2:8" outlineLevel="1">
      <c r="B46" t="s">
        <v>567</v>
      </c>
      <c r="C46" t="s">
        <v>287</v>
      </c>
      <c r="D46" t="str">
        <f>VLOOKUP(C46,'Document Type'!$B$6:$C$34,2,FALSE)</f>
        <v>General</v>
      </c>
      <c r="E46" s="218">
        <v>44491</v>
      </c>
      <c r="F46" s="93" t="s">
        <v>212</v>
      </c>
      <c r="G46" t="s">
        <v>568</v>
      </c>
      <c r="H46" t="s">
        <v>148</v>
      </c>
    </row>
    <row r="47" spans="2:8" outlineLevel="1">
      <c r="B47" t="s">
        <v>569</v>
      </c>
      <c r="C47" t="s">
        <v>246</v>
      </c>
      <c r="D47" t="str">
        <f>VLOOKUP(C47,'Document Type'!$B$6:$C$34,2,FALSE)</f>
        <v>Minutes</v>
      </c>
      <c r="E47" s="218">
        <v>44494</v>
      </c>
      <c r="F47" s="93" t="s">
        <v>212</v>
      </c>
      <c r="G47" t="s">
        <v>569</v>
      </c>
      <c r="H47" t="s">
        <v>148</v>
      </c>
    </row>
    <row r="48" spans="2:8" outlineLevel="1">
      <c r="B48" t="s">
        <v>570</v>
      </c>
      <c r="C48" t="s">
        <v>242</v>
      </c>
      <c r="D48" t="str">
        <f>VLOOKUP(C48,'Document Type'!$B$6:$C$34,2,FALSE)</f>
        <v>General</v>
      </c>
      <c r="E48" s="218">
        <v>44494</v>
      </c>
      <c r="F48" s="93" t="s">
        <v>212</v>
      </c>
      <c r="G48" t="s">
        <v>570</v>
      </c>
      <c r="H48" t="s">
        <v>148</v>
      </c>
    </row>
    <row r="49" spans="2:8" outlineLevel="1">
      <c r="B49" t="s">
        <v>239</v>
      </c>
      <c r="C49" t="s">
        <v>287</v>
      </c>
      <c r="D49" t="str">
        <f>VLOOKUP(C49,'Document Type'!$B$6:$C$34,2,FALSE)</f>
        <v>General</v>
      </c>
      <c r="E49" s="218">
        <v>44698</v>
      </c>
      <c r="F49" s="93" t="s">
        <v>212</v>
      </c>
      <c r="G49" t="s">
        <v>571</v>
      </c>
      <c r="H49" t="s">
        <v>148</v>
      </c>
    </row>
    <row r="50" spans="2:8" outlineLevel="1">
      <c r="B50" t="s">
        <v>572</v>
      </c>
      <c r="C50" t="s">
        <v>225</v>
      </c>
      <c r="D50" t="str">
        <f>VLOOKUP(C50,'Document Type'!$B$6:$C$34,2,FALSE)</f>
        <v>General</v>
      </c>
      <c r="E50" s="218">
        <v>44742</v>
      </c>
      <c r="F50" s="93" t="s">
        <v>212</v>
      </c>
      <c r="G50" t="s">
        <v>572</v>
      </c>
      <c r="H50" t="s">
        <v>148</v>
      </c>
    </row>
    <row r="51" spans="2:8" outlineLevel="1">
      <c r="B51" t="s">
        <v>573</v>
      </c>
      <c r="C51" t="s">
        <v>208</v>
      </c>
      <c r="D51" t="str">
        <f>VLOOKUP(C51,'Document Type'!$B$6:$C$34,2,FALSE)</f>
        <v>General</v>
      </c>
      <c r="E51" s="218">
        <v>44761</v>
      </c>
      <c r="F51" s="93" t="s">
        <v>212</v>
      </c>
      <c r="G51" t="s">
        <v>573</v>
      </c>
      <c r="H51" t="s">
        <v>148</v>
      </c>
    </row>
    <row r="52" spans="2:8" outlineLevel="1">
      <c r="B52" t="s">
        <v>2</v>
      </c>
      <c r="C52" t="s">
        <v>2</v>
      </c>
      <c r="D52" t="str">
        <f>VLOOKUP(C52,'Document Type'!$B$6:$C$34,2,FALSE)</f>
        <v>General</v>
      </c>
      <c r="E52" s="218">
        <v>45100</v>
      </c>
      <c r="F52" s="93" t="s">
        <v>212</v>
      </c>
      <c r="G52" t="s">
        <v>574</v>
      </c>
      <c r="H52" t="s">
        <v>148</v>
      </c>
    </row>
    <row r="53" spans="2:8" outlineLevel="1">
      <c r="B53" s="14" t="s">
        <v>575</v>
      </c>
      <c r="C53" t="s">
        <v>253</v>
      </c>
      <c r="D53" t="str">
        <f>VLOOKUP(C53,'Document Type'!$B$6:$C$34,2,FALSE)</f>
        <v>General</v>
      </c>
      <c r="E53" s="218">
        <v>45107</v>
      </c>
      <c r="F53" s="93" t="s">
        <v>212</v>
      </c>
      <c r="G53" s="14" t="s">
        <v>575</v>
      </c>
      <c r="H53" t="s">
        <v>148</v>
      </c>
    </row>
    <row r="54" spans="2:8" outlineLevel="1">
      <c r="B54" t="s">
        <v>576</v>
      </c>
      <c r="C54" t="s">
        <v>208</v>
      </c>
      <c r="D54" t="str">
        <f>VLOOKUP(C54,'Document Type'!$B$6:$C$34,2,FALSE)</f>
        <v>General</v>
      </c>
      <c r="E54" s="218">
        <v>45126</v>
      </c>
      <c r="F54" s="93" t="s">
        <v>212</v>
      </c>
      <c r="G54" t="s">
        <v>576</v>
      </c>
      <c r="H54" t="s">
        <v>148</v>
      </c>
    </row>
    <row r="55" spans="2:8" outlineLevel="1">
      <c r="B55" t="s">
        <v>577</v>
      </c>
      <c r="C55" t="s">
        <v>242</v>
      </c>
      <c r="D55" t="str">
        <f>VLOOKUP(C55,'Document Type'!$B$6:$C$34,2,FALSE)</f>
        <v>General</v>
      </c>
      <c r="E55" s="218">
        <v>45193</v>
      </c>
      <c r="F55" s="93" t="s">
        <v>212</v>
      </c>
      <c r="G55" t="s">
        <v>577</v>
      </c>
      <c r="H55" t="s">
        <v>148</v>
      </c>
    </row>
    <row r="56" spans="2:8" outlineLevel="1">
      <c r="B56" s="14" t="s">
        <v>270</v>
      </c>
      <c r="C56" t="s">
        <v>253</v>
      </c>
      <c r="D56" t="str">
        <f>VLOOKUP(C56,'Document Type'!$B$6:$C$34,2,FALSE)</f>
        <v>General</v>
      </c>
      <c r="E56" s="218">
        <v>45471</v>
      </c>
      <c r="F56" s="93" t="s">
        <v>212</v>
      </c>
      <c r="G56" t="s">
        <v>578</v>
      </c>
      <c r="H56" t="s">
        <v>148</v>
      </c>
    </row>
    <row r="57" spans="2:8" outlineLevel="1">
      <c r="B57" t="s">
        <v>272</v>
      </c>
      <c r="C57" t="s">
        <v>234</v>
      </c>
      <c r="D57" t="str">
        <f>VLOOKUP(C57,'Document Type'!$B$6:$C$34,2,FALSE)</f>
        <v>General</v>
      </c>
      <c r="E57" s="218">
        <v>45471</v>
      </c>
      <c r="F57" s="93" t="s">
        <v>212</v>
      </c>
      <c r="G57" t="s">
        <v>579</v>
      </c>
      <c r="H57" t="s">
        <v>148</v>
      </c>
    </row>
    <row r="58" spans="2:8" outlineLevel="1">
      <c r="B58" t="s">
        <v>580</v>
      </c>
      <c r="C58" t="s">
        <v>196</v>
      </c>
      <c r="D58" t="str">
        <f>VLOOKUP(C58,'Document Type'!$B$6:$C$34,2,FALSE)</f>
        <v>Loans and Security</v>
      </c>
      <c r="E58" s="218">
        <v>45216</v>
      </c>
      <c r="F58" s="318" t="s">
        <v>237</v>
      </c>
      <c r="G58" t="s">
        <v>580</v>
      </c>
      <c r="H58" t="s">
        <v>148</v>
      </c>
    </row>
    <row r="59" spans="2:8" outlineLevel="1">
      <c r="B59" t="s">
        <v>581</v>
      </c>
      <c r="C59" t="s">
        <v>196</v>
      </c>
      <c r="D59" t="str">
        <f>VLOOKUP(C59,'Document Type'!$B$6:$C$34,2,FALSE)</f>
        <v>Loans and Security</v>
      </c>
      <c r="E59" s="218">
        <v>45216</v>
      </c>
      <c r="F59" s="318" t="s">
        <v>237</v>
      </c>
      <c r="G59" t="s">
        <v>581</v>
      </c>
      <c r="H59" t="s">
        <v>148</v>
      </c>
    </row>
    <row r="60" spans="2:8" outlineLevel="1">
      <c r="B60" t="s">
        <v>582</v>
      </c>
      <c r="C60" t="s">
        <v>196</v>
      </c>
      <c r="D60" t="str">
        <f>VLOOKUP(C60,'Document Type'!$B$6:$C$34,2,FALSE)</f>
        <v>Loans and Security</v>
      </c>
      <c r="E60" s="218">
        <v>45216</v>
      </c>
      <c r="F60" s="318" t="s">
        <v>237</v>
      </c>
      <c r="G60" t="s">
        <v>582</v>
      </c>
      <c r="H60" t="s">
        <v>148</v>
      </c>
    </row>
    <row r="61" spans="2:8" outlineLevel="1">
      <c r="B61" t="s">
        <v>583</v>
      </c>
      <c r="C61" t="s">
        <v>196</v>
      </c>
      <c r="D61" t="str">
        <f>VLOOKUP(C61,'Document Type'!$B$6:$C$34,2,FALSE)</f>
        <v>Loans and Security</v>
      </c>
      <c r="E61" s="218">
        <v>45216</v>
      </c>
      <c r="F61" s="318" t="s">
        <v>237</v>
      </c>
      <c r="G61" t="s">
        <v>583</v>
      </c>
      <c r="H61" t="s">
        <v>148</v>
      </c>
    </row>
    <row r="62" spans="2:8" outlineLevel="1">
      <c r="B62" t="s">
        <v>584</v>
      </c>
      <c r="C62" t="s">
        <v>196</v>
      </c>
      <c r="D62" t="str">
        <f>VLOOKUP(C62,'Document Type'!$B$6:$C$34,2,FALSE)</f>
        <v>Loans and Security</v>
      </c>
      <c r="E62" s="218">
        <v>45216</v>
      </c>
      <c r="F62" s="318" t="s">
        <v>237</v>
      </c>
      <c r="G62" t="s">
        <v>584</v>
      </c>
      <c r="H62" t="s">
        <v>148</v>
      </c>
    </row>
    <row r="63" spans="2:8" outlineLevel="1">
      <c r="B63" t="s">
        <v>585</v>
      </c>
      <c r="C63" t="s">
        <v>196</v>
      </c>
      <c r="D63" t="str">
        <f>VLOOKUP(C63,'Document Type'!$B$6:$C$34,2,FALSE)</f>
        <v>Loans and Security</v>
      </c>
      <c r="E63" s="218">
        <v>45232</v>
      </c>
      <c r="F63" s="318" t="s">
        <v>237</v>
      </c>
      <c r="G63" t="s">
        <v>585</v>
      </c>
      <c r="H63" t="s">
        <v>148</v>
      </c>
    </row>
    <row r="64" spans="2:8" outlineLevel="1">
      <c r="B64" t="s">
        <v>586</v>
      </c>
      <c r="C64" t="s">
        <v>196</v>
      </c>
      <c r="D64" t="str">
        <f>VLOOKUP(C64,'Document Type'!$B$6:$C$34,2,FALSE)</f>
        <v>Loans and Security</v>
      </c>
      <c r="E64" s="218">
        <v>45232</v>
      </c>
      <c r="F64" s="318" t="s">
        <v>237</v>
      </c>
      <c r="G64" t="s">
        <v>586</v>
      </c>
      <c r="H64" t="s">
        <v>148</v>
      </c>
    </row>
    <row r="65" spans="2:8" outlineLevel="1">
      <c r="B65" t="s">
        <v>587</v>
      </c>
      <c r="C65" t="s">
        <v>196</v>
      </c>
      <c r="D65" t="str">
        <f>VLOOKUP(C65,'Document Type'!$B$6:$C$34,2,FALSE)</f>
        <v>Loans and Security</v>
      </c>
      <c r="E65" s="218">
        <v>45216</v>
      </c>
      <c r="F65" s="318" t="s">
        <v>237</v>
      </c>
      <c r="G65" t="s">
        <v>587</v>
      </c>
      <c r="H65" t="s">
        <v>148</v>
      </c>
    </row>
    <row r="66" spans="2:8" outlineLevel="1">
      <c r="B66" t="s">
        <v>588</v>
      </c>
      <c r="C66" t="s">
        <v>196</v>
      </c>
      <c r="D66" t="str">
        <f>VLOOKUP(C66,'Document Type'!$B$6:$C$34,2,FALSE)</f>
        <v>Loans and Security</v>
      </c>
      <c r="E66" s="218">
        <v>45216</v>
      </c>
      <c r="F66" s="318" t="s">
        <v>237</v>
      </c>
      <c r="G66" t="s">
        <v>588</v>
      </c>
      <c r="H66" t="s">
        <v>148</v>
      </c>
    </row>
    <row r="67" spans="2:8" outlineLevel="1">
      <c r="B67" t="s">
        <v>589</v>
      </c>
      <c r="C67" t="s">
        <v>196</v>
      </c>
      <c r="D67" t="str">
        <f>VLOOKUP(C67,'Document Type'!$B$6:$C$34,2,FALSE)</f>
        <v>Loans and Security</v>
      </c>
      <c r="E67" s="218">
        <v>45232</v>
      </c>
      <c r="F67" s="318" t="s">
        <v>237</v>
      </c>
      <c r="G67" t="s">
        <v>589</v>
      </c>
      <c r="H67" t="s">
        <v>148</v>
      </c>
    </row>
    <row r="68" spans="2:8" outlineLevel="1">
      <c r="B68" t="s">
        <v>590</v>
      </c>
      <c r="C68" t="s">
        <v>196</v>
      </c>
      <c r="D68" t="str">
        <f>VLOOKUP(C68,'Document Type'!$B$6:$C$34,2,FALSE)</f>
        <v>Loans and Security</v>
      </c>
      <c r="E68" s="218">
        <v>45232</v>
      </c>
      <c r="F68" s="318" t="s">
        <v>237</v>
      </c>
      <c r="G68" t="s">
        <v>590</v>
      </c>
      <c r="H68" t="s">
        <v>148</v>
      </c>
    </row>
    <row r="69" spans="2:8" outlineLevel="1">
      <c r="B69" t="s">
        <v>591</v>
      </c>
      <c r="C69" t="s">
        <v>196</v>
      </c>
      <c r="D69" t="str">
        <f>VLOOKUP(C69,'Document Type'!$B$6:$C$34,2,FALSE)</f>
        <v>Loans and Security</v>
      </c>
      <c r="E69" s="218">
        <v>45275</v>
      </c>
      <c r="F69" s="318" t="s">
        <v>237</v>
      </c>
      <c r="G69" t="s">
        <v>591</v>
      </c>
      <c r="H69" t="s">
        <v>148</v>
      </c>
    </row>
    <row r="70" spans="2:8" outlineLevel="1">
      <c r="B70" t="s">
        <v>592</v>
      </c>
      <c r="C70" t="s">
        <v>196</v>
      </c>
      <c r="D70" t="str">
        <f>VLOOKUP(C70,'Document Type'!$B$6:$C$34,2,FALSE)</f>
        <v>Loans and Security</v>
      </c>
      <c r="E70" s="218">
        <v>45275</v>
      </c>
      <c r="F70" s="318" t="s">
        <v>237</v>
      </c>
      <c r="G70" t="s">
        <v>592</v>
      </c>
      <c r="H70" t="s">
        <v>148</v>
      </c>
    </row>
    <row r="71" spans="2:8" outlineLevel="1">
      <c r="B71" t="s">
        <v>593</v>
      </c>
      <c r="C71" t="s">
        <v>196</v>
      </c>
      <c r="D71" t="str">
        <f>VLOOKUP(C71,'Document Type'!$B$6:$C$34,2,FALSE)</f>
        <v>Loans and Security</v>
      </c>
      <c r="E71" s="218">
        <v>45280</v>
      </c>
      <c r="F71" s="318" t="s">
        <v>237</v>
      </c>
      <c r="G71" t="s">
        <v>593</v>
      </c>
      <c r="H71" t="s">
        <v>148</v>
      </c>
    </row>
    <row r="72" spans="2:8" outlineLevel="1">
      <c r="B72" t="s">
        <v>594</v>
      </c>
      <c r="C72" t="s">
        <v>196</v>
      </c>
      <c r="D72" t="str">
        <f>VLOOKUP(C72,'Document Type'!$B$6:$C$34,2,FALSE)</f>
        <v>Loans and Security</v>
      </c>
      <c r="E72" s="218">
        <v>45280</v>
      </c>
      <c r="F72" s="318" t="s">
        <v>237</v>
      </c>
      <c r="G72" t="s">
        <v>594</v>
      </c>
      <c r="H72" t="s">
        <v>148</v>
      </c>
    </row>
    <row r="73" spans="2:8" outlineLevel="1">
      <c r="B73" t="s">
        <v>595</v>
      </c>
      <c r="C73" t="s">
        <v>229</v>
      </c>
      <c r="D73" t="str">
        <f>VLOOKUP(C73,'Document Type'!$B$6:$C$34,2,FALSE)</f>
        <v>Assets</v>
      </c>
      <c r="E73" s="218">
        <v>45280</v>
      </c>
      <c r="F73" s="93" t="s">
        <v>212</v>
      </c>
      <c r="G73" t="s">
        <v>596</v>
      </c>
      <c r="H73" t="s">
        <v>148</v>
      </c>
    </row>
    <row r="74" spans="2:8" outlineLevel="1">
      <c r="B74" t="s">
        <v>597</v>
      </c>
      <c r="C74" t="s">
        <v>229</v>
      </c>
      <c r="D74" t="str">
        <f>VLOOKUP(C74,'Document Type'!$B$6:$C$34,2,FALSE)</f>
        <v>Assets</v>
      </c>
      <c r="E74" s="218">
        <v>45253</v>
      </c>
      <c r="F74" s="93" t="s">
        <v>212</v>
      </c>
      <c r="G74" t="s">
        <v>596</v>
      </c>
      <c r="H74" t="s">
        <v>148</v>
      </c>
    </row>
    <row r="75" spans="2:8" outlineLevel="1">
      <c r="B75" t="s">
        <v>1282</v>
      </c>
      <c r="C75" t="s">
        <v>1280</v>
      </c>
      <c r="D75" t="str">
        <f>VLOOKUP(C75,'Document Type'!$B$6:$C$34,2,FALSE)</f>
        <v>BAS</v>
      </c>
      <c r="E75" s="218">
        <v>45531</v>
      </c>
      <c r="F75" s="93" t="s">
        <v>212</v>
      </c>
      <c r="G75" t="s">
        <v>1283</v>
      </c>
      <c r="H75" t="s">
        <v>148</v>
      </c>
    </row>
    <row r="76" spans="2:8" outlineLevel="1">
      <c r="B76" t="s">
        <v>1284</v>
      </c>
      <c r="C76" t="s">
        <v>1280</v>
      </c>
      <c r="D76" t="str">
        <f>VLOOKUP(C76,'Document Type'!$B$6:$C$34,2,FALSE)</f>
        <v>BAS</v>
      </c>
      <c r="E76" s="218">
        <v>45531</v>
      </c>
      <c r="F76" s="93" t="s">
        <v>212</v>
      </c>
      <c r="G76" t="s">
        <v>1283</v>
      </c>
      <c r="H76" t="s">
        <v>148</v>
      </c>
    </row>
    <row r="77" spans="2:8" outlineLevel="1">
      <c r="B77" t="s">
        <v>1312</v>
      </c>
      <c r="C77" t="s">
        <v>245</v>
      </c>
      <c r="D77" t="str">
        <f>VLOOKUP(C77,'Document Type'!$B$6:$C$34,2,FALSE)</f>
        <v>General</v>
      </c>
      <c r="E77" s="218">
        <v>45562</v>
      </c>
      <c r="F77" s="93" t="s">
        <v>212</v>
      </c>
      <c r="G77" t="s">
        <v>1311</v>
      </c>
      <c r="H77" t="s">
        <v>439</v>
      </c>
    </row>
    <row r="78" spans="2:8" outlineLevel="1">
      <c r="B78" t="s">
        <v>1314</v>
      </c>
      <c r="C78" t="s">
        <v>245</v>
      </c>
      <c r="D78" t="str">
        <f>VLOOKUP(C78,'Document Type'!$B$6:$C$34,2,FALSE)</f>
        <v>General</v>
      </c>
      <c r="E78" s="218">
        <v>45562</v>
      </c>
      <c r="F78" s="93" t="s">
        <v>212</v>
      </c>
      <c r="G78" t="s">
        <v>1315</v>
      </c>
      <c r="H78" t="s">
        <v>439</v>
      </c>
    </row>
    <row r="79" spans="2:8" outlineLevel="1">
      <c r="B79" t="s">
        <v>1313</v>
      </c>
      <c r="C79" t="s">
        <v>245</v>
      </c>
      <c r="D79" t="str">
        <f>VLOOKUP(C79,'Document Type'!$B$6:$C$34,2,FALSE)</f>
        <v>General</v>
      </c>
      <c r="E79" s="218">
        <v>45562</v>
      </c>
      <c r="F79" s="93" t="s">
        <v>212</v>
      </c>
      <c r="G79" t="s">
        <v>1316</v>
      </c>
      <c r="H79" t="s">
        <v>439</v>
      </c>
    </row>
    <row r="80" spans="2:8" outlineLevel="1">
      <c r="B80" t="s">
        <v>1318</v>
      </c>
      <c r="C80" t="s">
        <v>245</v>
      </c>
      <c r="D80" t="str">
        <f>VLOOKUP(C80,'Document Type'!$B$6:$C$34,2,FALSE)</f>
        <v>General</v>
      </c>
      <c r="E80" s="218">
        <v>45562</v>
      </c>
      <c r="F80" s="93" t="s">
        <v>212</v>
      </c>
      <c r="G80" t="s">
        <v>1317</v>
      </c>
      <c r="H80" t="s">
        <v>439</v>
      </c>
    </row>
    <row r="81" spans="2:17" outlineLevel="1">
      <c r="D81" t="e">
        <f>VLOOKUP(C81,'Document Type'!$B$6:$C$34,2,FALSE)</f>
        <v>#N/A</v>
      </c>
      <c r="E81" s="218"/>
      <c r="F81" s="93" t="s">
        <v>212</v>
      </c>
    </row>
    <row r="82" spans="2:17" outlineLevel="1">
      <c r="D82" t="e">
        <f>VLOOKUP(C82,'Document Type'!$B$6:$C$34,2,FALSE)</f>
        <v>#N/A</v>
      </c>
      <c r="E82" s="218"/>
      <c r="F82" s="93" t="s">
        <v>212</v>
      </c>
    </row>
    <row r="83" spans="2:17" outlineLevel="1">
      <c r="D83" t="e">
        <f>VLOOKUP(C83,'Document Type'!$B$6:$C$34,2,FALSE)</f>
        <v>#N/A</v>
      </c>
      <c r="E83" s="218"/>
      <c r="F83" s="93" t="s">
        <v>212</v>
      </c>
    </row>
    <row r="84" spans="2:17" outlineLevel="1">
      <c r="D84" t="e">
        <f>VLOOKUP(C84,'Document Type'!$B$6:$C$34,2,FALSE)</f>
        <v>#N/A</v>
      </c>
      <c r="E84" s="218"/>
      <c r="F84" s="93" t="s">
        <v>212</v>
      </c>
    </row>
    <row r="85" spans="2:17" outlineLevel="1">
      <c r="D85" t="e">
        <f>VLOOKUP(C85,'Document Type'!$B$6:$C$34,2,FALSE)</f>
        <v>#N/A</v>
      </c>
      <c r="F85" s="93" t="s">
        <v>212</v>
      </c>
    </row>
    <row r="86" spans="2:17" outlineLevel="1">
      <c r="D86" t="e">
        <f>VLOOKUP(C86,'Document Type'!$B$6:$C$34,2,FALSE)</f>
        <v>#N/A</v>
      </c>
      <c r="F86" s="93" t="s">
        <v>212</v>
      </c>
    </row>
    <row r="87" spans="2:17" outlineLevel="1">
      <c r="D87" t="e">
        <f>VLOOKUP(C87,'Document Type'!$B$6:$C$34,2,FALSE)</f>
        <v>#N/A</v>
      </c>
      <c r="F87" s="93" t="s">
        <v>212</v>
      </c>
    </row>
    <row r="89" spans="2:17" ht="15.9">
      <c r="B89" s="170" t="s">
        <v>289</v>
      </c>
    </row>
    <row r="90" spans="2:17">
      <c r="B90" s="232" t="s">
        <v>265</v>
      </c>
      <c r="C90" s="232" t="s">
        <v>290</v>
      </c>
      <c r="D90" s="232" t="s">
        <v>291</v>
      </c>
      <c r="E90" s="252" t="s">
        <v>292</v>
      </c>
      <c r="F90" s="232" t="s">
        <v>293</v>
      </c>
      <c r="G90" s="232" t="s">
        <v>294</v>
      </c>
      <c r="H90" s="276" t="s">
        <v>295</v>
      </c>
      <c r="I90" s="191" t="s">
        <v>296</v>
      </c>
      <c r="J90" s="209" t="s">
        <v>297</v>
      </c>
      <c r="K90" s="93" t="s">
        <v>298</v>
      </c>
      <c r="L90" s="93" t="s">
        <v>299</v>
      </c>
      <c r="M90" s="93" t="s">
        <v>300</v>
      </c>
      <c r="N90" s="209" t="s">
        <v>301</v>
      </c>
      <c r="O90" s="93" t="s">
        <v>302</v>
      </c>
      <c r="P90" s="93" t="s">
        <v>303</v>
      </c>
      <c r="Q90" s="93" t="s">
        <v>304</v>
      </c>
    </row>
    <row r="91" spans="2:17" outlineLevel="1">
      <c r="B91" s="140">
        <v>41109</v>
      </c>
      <c r="C91" s="93" t="s">
        <v>437</v>
      </c>
      <c r="D91" s="93" t="s">
        <v>402</v>
      </c>
      <c r="E91" s="93">
        <v>1</v>
      </c>
      <c r="F91" s="93">
        <v>1</v>
      </c>
      <c r="G91" s="93">
        <v>100</v>
      </c>
      <c r="H91" s="93"/>
      <c r="I91" s="93"/>
      <c r="J91" s="209">
        <v>0.01</v>
      </c>
      <c r="K91" s="93"/>
      <c r="L91" s="93" t="s">
        <v>403</v>
      </c>
      <c r="M91" s="93">
        <v>100</v>
      </c>
      <c r="N91" s="209">
        <v>100</v>
      </c>
      <c r="O91" s="93" t="s">
        <v>403</v>
      </c>
      <c r="P91" s="93" t="s">
        <v>498</v>
      </c>
      <c r="Q91" s="93"/>
    </row>
    <row r="92" spans="2:17" outlineLevel="1">
      <c r="B92" s="140">
        <v>41963</v>
      </c>
      <c r="C92" s="93" t="s">
        <v>598</v>
      </c>
      <c r="D92" s="93" t="s">
        <v>402</v>
      </c>
      <c r="E92" s="93">
        <v>1</v>
      </c>
      <c r="F92" s="93">
        <v>1</v>
      </c>
      <c r="G92" s="93">
        <v>100</v>
      </c>
      <c r="H92" s="93"/>
      <c r="I92" s="93"/>
      <c r="J92" s="209"/>
      <c r="K92" s="93"/>
      <c r="L92" s="93" t="s">
        <v>497</v>
      </c>
      <c r="M92" s="93">
        <v>-100</v>
      </c>
      <c r="N92" s="209">
        <v>-100</v>
      </c>
      <c r="O92" s="93" t="s">
        <v>403</v>
      </c>
      <c r="P92" s="93" t="s">
        <v>498</v>
      </c>
      <c r="Q92" s="93"/>
    </row>
    <row r="93" spans="2:17" outlineLevel="1">
      <c r="B93" s="140">
        <v>41963</v>
      </c>
      <c r="C93" s="93" t="s">
        <v>437</v>
      </c>
      <c r="D93" s="93" t="s">
        <v>402</v>
      </c>
      <c r="E93" s="93"/>
      <c r="F93" s="93"/>
      <c r="G93" s="93"/>
      <c r="H93" s="93"/>
      <c r="I93" s="93"/>
      <c r="J93" s="209">
        <v>1</v>
      </c>
      <c r="K93" s="93"/>
      <c r="L93" s="93" t="s">
        <v>497</v>
      </c>
      <c r="M93" s="93">
        <v>27</v>
      </c>
      <c r="N93" s="209">
        <v>27</v>
      </c>
      <c r="O93" s="93" t="s">
        <v>438</v>
      </c>
      <c r="P93" s="93" t="s">
        <v>599</v>
      </c>
      <c r="Q93" s="93"/>
    </row>
    <row r="94" spans="2:17" outlineLevel="1">
      <c r="B94" s="140">
        <v>41963</v>
      </c>
      <c r="C94" s="93" t="s">
        <v>437</v>
      </c>
      <c r="D94" s="93" t="s">
        <v>402</v>
      </c>
      <c r="E94" s="93"/>
      <c r="F94" s="93"/>
      <c r="G94" s="93"/>
      <c r="H94" s="93"/>
      <c r="I94" s="93"/>
      <c r="J94" s="209">
        <v>1</v>
      </c>
      <c r="K94" s="93"/>
      <c r="L94" s="93" t="s">
        <v>497</v>
      </c>
      <c r="M94" s="93">
        <v>27</v>
      </c>
      <c r="N94" s="209">
        <v>27</v>
      </c>
      <c r="O94" s="93" t="s">
        <v>438</v>
      </c>
      <c r="P94" s="93" t="s">
        <v>600</v>
      </c>
      <c r="Q94" s="93"/>
    </row>
    <row r="95" spans="2:17" outlineLevel="1">
      <c r="B95" s="140">
        <v>41963</v>
      </c>
      <c r="C95" s="93" t="s">
        <v>437</v>
      </c>
      <c r="D95" s="93" t="s">
        <v>402</v>
      </c>
      <c r="E95" s="93"/>
      <c r="F95" s="93"/>
      <c r="G95" s="93"/>
      <c r="H95" s="93"/>
      <c r="I95" s="93"/>
      <c r="J95" s="209">
        <v>1</v>
      </c>
      <c r="K95" s="93"/>
      <c r="L95" s="93" t="s">
        <v>497</v>
      </c>
      <c r="M95" s="93">
        <v>27</v>
      </c>
      <c r="N95" s="209">
        <v>27</v>
      </c>
      <c r="O95" s="93" t="s">
        <v>438</v>
      </c>
      <c r="P95" s="93" t="s">
        <v>601</v>
      </c>
      <c r="Q95" s="93"/>
    </row>
    <row r="96" spans="2:17" outlineLevel="1">
      <c r="B96" s="140">
        <v>41963</v>
      </c>
      <c r="C96" s="93" t="s">
        <v>437</v>
      </c>
      <c r="D96" s="93" t="s">
        <v>402</v>
      </c>
      <c r="E96" s="93"/>
      <c r="F96" s="93"/>
      <c r="G96" s="93"/>
      <c r="H96" s="93"/>
      <c r="I96" s="93"/>
      <c r="J96" s="209">
        <v>1</v>
      </c>
      <c r="K96" s="93"/>
      <c r="L96" s="93" t="s">
        <v>403</v>
      </c>
      <c r="M96" s="93">
        <v>19</v>
      </c>
      <c r="N96" s="209">
        <v>19</v>
      </c>
      <c r="O96" s="93" t="s">
        <v>403</v>
      </c>
      <c r="P96" s="93" t="s">
        <v>602</v>
      </c>
      <c r="Q96" s="93"/>
    </row>
    <row r="97" spans="2:17" outlineLevel="1">
      <c r="B97" s="140">
        <v>42116</v>
      </c>
      <c r="C97" s="93" t="s">
        <v>603</v>
      </c>
      <c r="D97" s="93" t="s">
        <v>402</v>
      </c>
      <c r="E97" s="93"/>
      <c r="F97" s="93"/>
      <c r="G97" s="93"/>
      <c r="H97" s="93"/>
      <c r="I97" s="93"/>
      <c r="J97" s="209">
        <v>1</v>
      </c>
      <c r="K97" s="93"/>
      <c r="L97" s="93" t="s">
        <v>403</v>
      </c>
      <c r="M97" s="93">
        <v>8</v>
      </c>
      <c r="N97" s="209">
        <v>8</v>
      </c>
      <c r="O97" s="93" t="s">
        <v>403</v>
      </c>
      <c r="P97" s="93" t="s">
        <v>602</v>
      </c>
      <c r="Q97" s="93"/>
    </row>
    <row r="98" spans="2:17" outlineLevel="1">
      <c r="B98" s="140">
        <v>44494</v>
      </c>
      <c r="C98" s="93" t="s">
        <v>598</v>
      </c>
      <c r="D98" s="93" t="s">
        <v>402</v>
      </c>
      <c r="E98" s="93"/>
      <c r="F98" s="93"/>
      <c r="G98" s="93"/>
      <c r="H98" s="93"/>
      <c r="I98" s="93"/>
      <c r="J98" s="209">
        <v>1</v>
      </c>
      <c r="K98" s="93"/>
      <c r="L98" s="93" t="s">
        <v>403</v>
      </c>
      <c r="M98" s="93">
        <v>-8</v>
      </c>
      <c r="N98" s="209">
        <v>-8</v>
      </c>
      <c r="O98" s="93" t="s">
        <v>403</v>
      </c>
      <c r="P98" s="93" t="s">
        <v>602</v>
      </c>
      <c r="Q98" s="93"/>
    </row>
    <row r="99" spans="2:17" outlineLevel="1">
      <c r="B99" s="140">
        <v>44494</v>
      </c>
      <c r="C99" s="93" t="s">
        <v>604</v>
      </c>
      <c r="D99" s="93" t="s">
        <v>402</v>
      </c>
      <c r="E99" s="93"/>
      <c r="F99" s="93"/>
      <c r="G99" s="93"/>
      <c r="H99" s="93"/>
      <c r="I99" s="93"/>
      <c r="J99" s="209">
        <v>1</v>
      </c>
      <c r="K99" s="93"/>
      <c r="L99" s="93"/>
      <c r="M99" s="93">
        <v>-27</v>
      </c>
      <c r="N99" s="209">
        <v>-27</v>
      </c>
      <c r="O99" s="93"/>
      <c r="P99" s="93" t="s">
        <v>600</v>
      </c>
      <c r="Q99" s="93"/>
    </row>
    <row r="100" spans="2:17" outlineLevel="1">
      <c r="B100" s="140">
        <v>44494</v>
      </c>
      <c r="C100" s="93" t="s">
        <v>605</v>
      </c>
      <c r="D100" s="93" t="s">
        <v>402</v>
      </c>
      <c r="E100" s="93"/>
      <c r="F100" s="93"/>
      <c r="G100" s="93"/>
      <c r="H100" s="93"/>
      <c r="I100" s="93"/>
      <c r="J100" s="209">
        <v>1</v>
      </c>
      <c r="K100" s="93"/>
      <c r="L100" s="93"/>
      <c r="M100" s="93">
        <v>27</v>
      </c>
      <c r="N100" s="209">
        <v>27</v>
      </c>
      <c r="O100" s="93"/>
      <c r="P100" s="93" t="s">
        <v>599</v>
      </c>
      <c r="Q100" s="93"/>
    </row>
    <row r="101" spans="2:17" outlineLevel="1">
      <c r="B101" s="140">
        <v>44494</v>
      </c>
      <c r="C101" s="93" t="s">
        <v>604</v>
      </c>
      <c r="D101" s="93" t="s">
        <v>402</v>
      </c>
      <c r="E101" s="93"/>
      <c r="F101" s="93"/>
      <c r="G101" s="93"/>
      <c r="H101" s="93"/>
      <c r="I101" s="93"/>
      <c r="J101" s="209">
        <v>1</v>
      </c>
      <c r="K101" s="93"/>
      <c r="L101" s="93"/>
      <c r="M101" s="93">
        <v>-9</v>
      </c>
      <c r="N101" s="209">
        <v>-9</v>
      </c>
      <c r="O101" s="93"/>
      <c r="P101" s="93" t="s">
        <v>602</v>
      </c>
      <c r="Q101" s="93"/>
    </row>
    <row r="102" spans="2:17" outlineLevel="1">
      <c r="B102" s="140">
        <v>44494</v>
      </c>
      <c r="C102" s="93" t="s">
        <v>605</v>
      </c>
      <c r="D102" s="93" t="s">
        <v>402</v>
      </c>
      <c r="E102" s="93"/>
      <c r="F102" s="93"/>
      <c r="G102" s="93"/>
      <c r="H102" s="93"/>
      <c r="I102" s="93"/>
      <c r="J102" s="209"/>
      <c r="K102" s="93"/>
      <c r="L102" s="93"/>
      <c r="M102" s="93">
        <v>9</v>
      </c>
      <c r="N102" s="209">
        <v>9</v>
      </c>
      <c r="O102" s="93"/>
      <c r="P102" s="93" t="s">
        <v>606</v>
      </c>
      <c r="Q102" s="93"/>
    </row>
    <row r="103" spans="2:17" outlineLevel="1">
      <c r="B103" s="140">
        <v>44494</v>
      </c>
      <c r="C103" s="93" t="s">
        <v>604</v>
      </c>
      <c r="D103" s="93" t="s">
        <v>402</v>
      </c>
      <c r="E103" s="93"/>
      <c r="F103" s="93"/>
      <c r="G103" s="93"/>
      <c r="H103" s="93"/>
      <c r="I103" s="93"/>
      <c r="J103" s="209"/>
      <c r="K103" s="93"/>
      <c r="L103" s="93"/>
      <c r="M103" s="93">
        <v>-1</v>
      </c>
      <c r="N103" s="209">
        <v>-1</v>
      </c>
      <c r="O103" s="93"/>
      <c r="P103" s="93" t="s">
        <v>602</v>
      </c>
      <c r="Q103" s="93"/>
    </row>
    <row r="104" spans="2:17" outlineLevel="1">
      <c r="B104" s="140">
        <v>44494</v>
      </c>
      <c r="C104" s="93" t="s">
        <v>605</v>
      </c>
      <c r="D104" s="93" t="s">
        <v>402</v>
      </c>
      <c r="E104" s="93"/>
      <c r="F104" s="93"/>
      <c r="G104" s="93"/>
      <c r="H104" s="93"/>
      <c r="I104" s="93"/>
      <c r="J104" s="209"/>
      <c r="K104" s="93"/>
      <c r="L104" s="93"/>
      <c r="M104" s="93">
        <v>1</v>
      </c>
      <c r="N104" s="209">
        <v>1</v>
      </c>
      <c r="O104" s="93"/>
      <c r="P104" s="93" t="s">
        <v>599</v>
      </c>
      <c r="Q104" s="93"/>
    </row>
    <row r="105" spans="2:17" outlineLevel="1">
      <c r="B105" s="140">
        <v>44494</v>
      </c>
      <c r="C105" s="93" t="s">
        <v>604</v>
      </c>
      <c r="D105" s="93" t="s">
        <v>402</v>
      </c>
      <c r="E105" s="93"/>
      <c r="F105" s="93"/>
      <c r="G105" s="93"/>
      <c r="H105" s="93"/>
      <c r="I105" s="93"/>
      <c r="J105" s="209"/>
      <c r="K105" s="93"/>
      <c r="L105" s="93"/>
      <c r="M105" s="93">
        <v>-8</v>
      </c>
      <c r="N105" s="209">
        <v>-8</v>
      </c>
      <c r="O105" s="93"/>
      <c r="P105" s="93" t="s">
        <v>602</v>
      </c>
      <c r="Q105" s="93"/>
    </row>
    <row r="106" spans="2:17" outlineLevel="1">
      <c r="B106" s="140">
        <v>44494</v>
      </c>
      <c r="C106" s="93" t="s">
        <v>607</v>
      </c>
      <c r="D106" s="93" t="s">
        <v>402</v>
      </c>
      <c r="E106" s="93"/>
      <c r="F106" s="93"/>
      <c r="G106" s="93"/>
      <c r="H106" s="93"/>
      <c r="I106" s="93"/>
      <c r="J106" s="209"/>
      <c r="K106" s="93"/>
      <c r="L106" s="93"/>
      <c r="M106" s="93">
        <v>8</v>
      </c>
      <c r="N106" s="209">
        <v>8</v>
      </c>
      <c r="O106" s="93"/>
      <c r="P106" s="93" t="s">
        <v>601</v>
      </c>
      <c r="Q106" s="93"/>
    </row>
    <row r="107" spans="2:17" outlineLevel="1">
      <c r="B107" s="140">
        <v>44651</v>
      </c>
      <c r="C107" s="93" t="s">
        <v>608</v>
      </c>
      <c r="D107" s="93" t="s">
        <v>402</v>
      </c>
      <c r="E107" s="93"/>
      <c r="F107" s="93"/>
      <c r="G107" s="93"/>
      <c r="H107" s="93"/>
      <c r="I107" s="93"/>
      <c r="J107" s="209"/>
      <c r="K107" s="93"/>
      <c r="L107" s="93"/>
      <c r="M107" s="93">
        <v>-100</v>
      </c>
      <c r="N107" s="209"/>
      <c r="O107" s="93"/>
      <c r="P107" s="93" t="s">
        <v>609</v>
      </c>
      <c r="Q107" s="93"/>
    </row>
    <row r="108" spans="2:17" outlineLevel="1">
      <c r="B108" s="140">
        <v>44651</v>
      </c>
      <c r="C108" s="93" t="s">
        <v>608</v>
      </c>
      <c r="D108" s="93" t="s">
        <v>402</v>
      </c>
      <c r="E108" s="93"/>
      <c r="F108" s="93"/>
      <c r="G108" s="93"/>
      <c r="H108" s="93"/>
      <c r="I108" s="93"/>
      <c r="J108" s="209"/>
      <c r="K108" s="93"/>
      <c r="L108" s="93"/>
      <c r="M108" s="93">
        <v>100</v>
      </c>
      <c r="N108" s="209">
        <v>100</v>
      </c>
      <c r="O108" s="93"/>
      <c r="P108" s="93" t="s">
        <v>505</v>
      </c>
      <c r="Q108" s="93" t="s">
        <v>610</v>
      </c>
    </row>
    <row r="109" spans="2:17" outlineLevel="1">
      <c r="B109" s="93"/>
      <c r="C109" s="93"/>
      <c r="D109" s="93"/>
      <c r="E109" s="93"/>
      <c r="F109" s="93"/>
      <c r="G109" s="93"/>
      <c r="H109" s="93"/>
      <c r="I109" s="93"/>
      <c r="J109" s="209"/>
      <c r="K109" s="93"/>
      <c r="L109" s="93"/>
      <c r="M109" s="93"/>
      <c r="N109" s="209"/>
      <c r="O109" s="93"/>
      <c r="P109" s="93"/>
      <c r="Q109" s="93"/>
    </row>
    <row r="110" spans="2:17" outlineLevel="1">
      <c r="B110" s="93"/>
      <c r="C110" s="93"/>
      <c r="D110" s="93"/>
      <c r="E110" s="93"/>
      <c r="F110" s="93"/>
      <c r="G110" s="93"/>
      <c r="H110" s="93"/>
      <c r="I110" s="93"/>
      <c r="J110" s="209"/>
      <c r="K110" s="93"/>
      <c r="L110" s="93"/>
      <c r="M110" s="93"/>
      <c r="N110" s="209"/>
      <c r="O110" s="93"/>
      <c r="P110" s="93"/>
      <c r="Q110" s="93"/>
    </row>
    <row r="111" spans="2:17" outlineLevel="1">
      <c r="B111" s="93"/>
      <c r="C111" s="93"/>
      <c r="D111" s="93"/>
      <c r="E111" s="93"/>
      <c r="F111" s="93"/>
      <c r="G111" s="93"/>
      <c r="H111" s="93"/>
      <c r="I111" s="93"/>
      <c r="J111" s="209"/>
      <c r="K111" s="93"/>
      <c r="L111" s="93"/>
      <c r="M111" s="93"/>
      <c r="N111" s="209"/>
      <c r="O111" s="93"/>
      <c r="P111" s="93"/>
      <c r="Q111" s="93"/>
    </row>
    <row r="112" spans="2:17" outlineLevel="1">
      <c r="B112" s="93"/>
      <c r="C112" s="93"/>
      <c r="D112" s="93"/>
      <c r="E112" s="93"/>
      <c r="F112" s="93"/>
      <c r="G112" s="93"/>
      <c r="H112" s="93"/>
      <c r="I112" s="93"/>
      <c r="J112" s="209"/>
      <c r="K112" s="93"/>
      <c r="L112" s="93"/>
      <c r="M112" s="93"/>
      <c r="N112" s="209"/>
      <c r="O112" s="93"/>
      <c r="P112" s="93"/>
      <c r="Q112" s="93"/>
    </row>
    <row r="113" spans="2:17" outlineLevel="1">
      <c r="B113" s="93"/>
      <c r="C113" s="93"/>
      <c r="D113" s="93"/>
      <c r="E113" s="93"/>
      <c r="F113" s="93"/>
      <c r="G113" s="93"/>
      <c r="H113" s="93"/>
      <c r="I113" s="93"/>
      <c r="J113" s="209"/>
      <c r="K113" s="93"/>
      <c r="L113" s="93"/>
      <c r="M113" s="93"/>
      <c r="N113" s="209"/>
      <c r="O113" s="93"/>
      <c r="P113" s="93"/>
      <c r="Q113" s="93"/>
    </row>
    <row r="114" spans="2:17" outlineLevel="1">
      <c r="B114" s="93"/>
      <c r="C114" s="93"/>
      <c r="D114" s="93"/>
      <c r="E114" s="93"/>
      <c r="F114" s="93"/>
      <c r="G114" s="93"/>
      <c r="H114" s="93"/>
      <c r="I114" s="93"/>
      <c r="J114" s="209"/>
      <c r="K114" s="93"/>
      <c r="L114" s="93"/>
      <c r="M114" s="93"/>
      <c r="N114" s="209"/>
      <c r="O114" s="93"/>
      <c r="P114" s="93"/>
      <c r="Q114" s="93"/>
    </row>
    <row r="115" spans="2:17" outlineLevel="1">
      <c r="B115" s="93"/>
      <c r="C115" s="93"/>
      <c r="D115" s="93"/>
      <c r="E115" s="93"/>
      <c r="F115" s="93"/>
      <c r="G115" s="93"/>
      <c r="H115" s="93"/>
      <c r="I115" s="93"/>
      <c r="J115" s="209"/>
      <c r="K115" s="93"/>
      <c r="L115" s="93"/>
      <c r="M115" s="93"/>
      <c r="N115" s="209"/>
      <c r="O115" s="93"/>
      <c r="P115" s="93"/>
      <c r="Q115" s="93"/>
    </row>
    <row r="116" spans="2:17" outlineLevel="1">
      <c r="B116" s="93"/>
      <c r="C116" s="93"/>
      <c r="D116" s="93"/>
      <c r="E116" s="93"/>
      <c r="F116" s="93"/>
      <c r="G116" s="93"/>
      <c r="H116" s="93"/>
      <c r="I116" s="93"/>
      <c r="J116" s="209"/>
      <c r="K116" s="93"/>
      <c r="L116" s="93"/>
      <c r="M116" s="93"/>
      <c r="N116" s="209"/>
      <c r="O116" s="93"/>
      <c r="P116" s="93"/>
      <c r="Q116" s="93"/>
    </row>
    <row r="118" spans="2:17" ht="15.9">
      <c r="B118" s="170" t="s">
        <v>305</v>
      </c>
    </row>
    <row r="119" spans="2:17">
      <c r="B119" t="s">
        <v>224</v>
      </c>
      <c r="C119" t="s">
        <v>306</v>
      </c>
      <c r="D119" t="s">
        <v>307</v>
      </c>
      <c r="E119" t="s">
        <v>265</v>
      </c>
      <c r="F119" t="s">
        <v>308</v>
      </c>
      <c r="G119" t="s">
        <v>256</v>
      </c>
    </row>
    <row r="120" spans="2:17" hidden="1" outlineLevel="1">
      <c r="B120" t="s">
        <v>440</v>
      </c>
      <c r="C120" t="s">
        <v>538</v>
      </c>
      <c r="D120" s="112">
        <v>4000000</v>
      </c>
      <c r="E120" s="218">
        <v>45216</v>
      </c>
      <c r="F120" t="s">
        <v>237</v>
      </c>
      <c r="G120" t="s">
        <v>237</v>
      </c>
    </row>
    <row r="121" spans="2:17" ht="15" hidden="1" customHeight="1" outlineLevel="1">
      <c r="B121" t="s">
        <v>538</v>
      </c>
      <c r="C121" t="s">
        <v>611</v>
      </c>
      <c r="D121" s="112">
        <v>1000000</v>
      </c>
      <c r="E121" s="218">
        <v>45216</v>
      </c>
      <c r="F121" t="s">
        <v>237</v>
      </c>
      <c r="G121" t="s">
        <v>237</v>
      </c>
    </row>
    <row r="122" spans="2:17" hidden="1" outlineLevel="1">
      <c r="B122" t="s">
        <v>538</v>
      </c>
      <c r="C122" t="s">
        <v>507</v>
      </c>
      <c r="D122" s="112">
        <v>3000000</v>
      </c>
      <c r="E122" s="218">
        <v>45216</v>
      </c>
      <c r="F122" t="s">
        <v>237</v>
      </c>
      <c r="G122" t="s">
        <v>237</v>
      </c>
    </row>
    <row r="123" spans="2:17" hidden="1" outlineLevel="1">
      <c r="B123" t="s">
        <v>538</v>
      </c>
      <c r="C123" t="s">
        <v>612</v>
      </c>
      <c r="D123" s="112">
        <v>2000000</v>
      </c>
      <c r="E123" s="218">
        <v>45275</v>
      </c>
      <c r="F123" t="s">
        <v>237</v>
      </c>
      <c r="G123" t="s">
        <v>237</v>
      </c>
    </row>
    <row r="124" spans="2:17" hidden="1" outlineLevel="1">
      <c r="D124" s="112"/>
    </row>
    <row r="125" spans="2:17" hidden="1" outlineLevel="1">
      <c r="D125" s="112"/>
    </row>
    <row r="126" spans="2:17" collapsed="1"/>
    <row r="128" spans="2:17" ht="15.9">
      <c r="B128" s="170" t="s">
        <v>309</v>
      </c>
    </row>
    <row r="129" spans="2:7">
      <c r="B129" t="s">
        <v>310</v>
      </c>
      <c r="C129" t="s">
        <v>311</v>
      </c>
      <c r="D129" t="s">
        <v>312</v>
      </c>
      <c r="E129" t="s">
        <v>313</v>
      </c>
      <c r="F129" t="s">
        <v>314</v>
      </c>
      <c r="G129" t="s">
        <v>315</v>
      </c>
    </row>
    <row r="130" spans="2:7" outlineLevel="1">
      <c r="B130" t="s">
        <v>595</v>
      </c>
      <c r="C130" s="218">
        <v>45280</v>
      </c>
      <c r="D130" s="112">
        <v>661825</v>
      </c>
    </row>
    <row r="131" spans="2:7" outlineLevel="1">
      <c r="B131" t="s">
        <v>613</v>
      </c>
      <c r="C131" s="218">
        <v>45253</v>
      </c>
      <c r="D131" s="112">
        <v>245391.05</v>
      </c>
    </row>
    <row r="132" spans="2:7" outlineLevel="1">
      <c r="B132" t="s">
        <v>614</v>
      </c>
      <c r="C132" s="218">
        <v>45253</v>
      </c>
      <c r="D132" s="112">
        <v>154608.95000000001</v>
      </c>
    </row>
    <row r="133" spans="2:7" outlineLevel="1">
      <c r="D133" s="112"/>
    </row>
    <row r="134" spans="2:7" outlineLevel="1">
      <c r="D134" s="112"/>
    </row>
    <row r="135" spans="2:7" outlineLevel="1">
      <c r="D135" s="112"/>
    </row>
    <row r="136" spans="2:7" outlineLevel="1">
      <c r="D136" s="112"/>
    </row>
    <row r="137" spans="2:7" outlineLevel="1">
      <c r="D137" s="112"/>
    </row>
    <row r="138" spans="2:7" outlineLevel="1">
      <c r="D138" s="112"/>
    </row>
    <row r="139" spans="2:7" outlineLevel="1"/>
    <row r="140" spans="2:7" outlineLevel="1"/>
    <row r="141" spans="2:7" outlineLevel="1"/>
    <row r="142" spans="2:7" outlineLevel="1"/>
    <row r="143" spans="2:7" outlineLevel="1"/>
    <row r="144" spans="2:7" outlineLevel="1"/>
    <row r="145" outlineLevel="1"/>
    <row r="146" outlineLevel="1"/>
    <row r="147" outlineLevel="1"/>
  </sheetData>
  <mergeCells count="3">
    <mergeCell ref="B3:H3"/>
    <mergeCell ref="C6:D6"/>
    <mergeCell ref="C15:D15"/>
  </mergeCells>
  <phoneticPr fontId="13" type="noConversion"/>
  <hyperlinks>
    <hyperlink ref="B1" location="'All Companies'!A1" display="All Companies" xr:uid="{93299451-0FE7-42C6-9A2A-B6403F54F2F2}"/>
    <hyperlink ref="G27" r:id="rId1" xr:uid="{C074C00B-4457-4C2C-AA96-40B39A773ACE}"/>
    <hyperlink ref="C24" r:id="rId2" xr:uid="{ED9622C6-32CA-EF48-974D-BD419376067C}"/>
  </hyperlinks>
  <pageMargins left="0.7" right="0.7" top="0.75" bottom="0.75" header="0.3" footer="0.3"/>
  <tableParts count="4">
    <tablePart r:id="rId3"/>
    <tablePart r:id="rId4"/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1E5A97D-336B-4131-84CE-874F2F6D5B21}">
          <x14:formula1>
            <xm:f>'Document Type'!$B$45:$B$47</xm:f>
          </x14:formula1>
          <xm:sqref>C8 G8</xm:sqref>
        </x14:dataValidation>
        <x14:dataValidation type="list" allowBlank="1" showInputMessage="1" showErrorMessage="1" xr:uid="{23CE066D-F332-44B5-9AE2-4B60779AA5FB}">
          <x14:formula1>
            <xm:f>'Document Type'!$B$38:$B$39</xm:f>
          </x14:formula1>
          <xm:sqref>F15 F27:F87 C13 G6 G13</xm:sqref>
        </x14:dataValidation>
        <x14:dataValidation type="list" allowBlank="1" showInputMessage="1" showErrorMessage="1" xr:uid="{52B8F244-65B2-43A9-9801-061EC070B4AA}">
          <x14:formula1>
            <xm:f>'Document Type'!$B$49:$B$51</xm:f>
          </x14:formula1>
          <xm:sqref>C10:C11</xm:sqref>
        </x14:dataValidation>
        <x14:dataValidation type="list" allowBlank="1" showInputMessage="1" showErrorMessage="1" xr:uid="{90D0819C-D123-4D24-8A96-EB45C5F88C32}">
          <x14:formula1>
            <xm:f>'Document Type'!$B$6:$B$34</xm:f>
          </x14:formula1>
          <xm:sqref>C27:C87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04C0-056F-4191-B088-AF8BF57FC0F9}">
  <dimension ref="B1:R121"/>
  <sheetViews>
    <sheetView topLeftCell="A5" workbookViewId="0">
      <selection activeCell="D38" sqref="D38"/>
    </sheetView>
  </sheetViews>
  <sheetFormatPr defaultColWidth="8.69140625" defaultRowHeight="14.6" outlineLevelRow="1"/>
  <cols>
    <col min="1" max="1" width="2.15234375" customWidth="1"/>
    <col min="2" max="2" width="38.3046875" bestFit="1" customWidth="1"/>
    <col min="3" max="3" width="46" bestFit="1" customWidth="1"/>
    <col min="4" max="4" width="29.15234375" customWidth="1"/>
    <col min="5" max="5" width="18.3046875" bestFit="1" customWidth="1"/>
    <col min="6" max="6" width="28.15234375" bestFit="1" customWidth="1"/>
    <col min="7" max="7" width="46.69140625" bestFit="1" customWidth="1"/>
    <col min="8" max="8" width="36.4609375" bestFit="1" customWidth="1"/>
    <col min="9" max="9" width="17.3046875" bestFit="1" customWidth="1"/>
    <col min="10" max="10" width="20.4609375" customWidth="1"/>
    <col min="11" max="11" width="76.3046875" bestFit="1" customWidth="1"/>
    <col min="12" max="12" width="25.3046875" bestFit="1" customWidth="1"/>
    <col min="13" max="13" width="27.3046875" bestFit="1" customWidth="1"/>
    <col min="14" max="14" width="31.69140625" bestFit="1" customWidth="1"/>
    <col min="15" max="15" width="30.15234375" bestFit="1" customWidth="1"/>
    <col min="16" max="16" width="21.4609375" bestFit="1" customWidth="1"/>
    <col min="17" max="17" width="23.3046875" bestFit="1" customWidth="1"/>
  </cols>
  <sheetData>
    <row r="1" spans="2:10">
      <c r="B1" s="69" t="s">
        <v>195</v>
      </c>
    </row>
    <row r="2" spans="2:10" ht="15" thickBot="1"/>
    <row r="3" spans="2:10" ht="26.8" customHeight="1" thickBot="1">
      <c r="B3" s="373" t="s">
        <v>612</v>
      </c>
      <c r="C3" s="373"/>
      <c r="D3" s="373"/>
      <c r="E3" s="373"/>
      <c r="F3" s="373"/>
      <c r="G3" s="373"/>
      <c r="H3" s="373"/>
      <c r="J3" s="334" t="s">
        <v>269</v>
      </c>
    </row>
    <row r="4" spans="2:10" ht="17.8" customHeight="1">
      <c r="B4" s="245" t="s">
        <v>201</v>
      </c>
      <c r="C4" s="278" t="s">
        <v>615</v>
      </c>
      <c r="D4" s="273" t="s">
        <v>202</v>
      </c>
      <c r="E4" s="278" t="s">
        <v>616</v>
      </c>
      <c r="F4" s="93"/>
      <c r="G4" s="273" t="s">
        <v>203</v>
      </c>
      <c r="H4" s="278" t="s">
        <v>617</v>
      </c>
    </row>
    <row r="5" spans="2:10">
      <c r="B5" s="250" t="s">
        <v>206</v>
      </c>
      <c r="C5" s="254">
        <v>45264</v>
      </c>
      <c r="D5" s="254"/>
      <c r="E5" s="256"/>
      <c r="F5" s="274" t="s">
        <v>207</v>
      </c>
      <c r="G5" s="256">
        <v>100</v>
      </c>
      <c r="H5" s="256"/>
      <c r="J5" t="s">
        <v>222</v>
      </c>
    </row>
    <row r="6" spans="2:10">
      <c r="B6" s="251" t="s">
        <v>210</v>
      </c>
      <c r="C6" s="232" t="s">
        <v>618</v>
      </c>
      <c r="D6" s="232"/>
      <c r="E6" s="232"/>
      <c r="F6" s="275" t="s">
        <v>211</v>
      </c>
      <c r="G6" s="232" t="s">
        <v>212</v>
      </c>
      <c r="H6" s="276"/>
    </row>
    <row r="7" spans="2:10">
      <c r="B7" s="250" t="s">
        <v>503</v>
      </c>
      <c r="C7" s="256"/>
      <c r="D7" s="256"/>
      <c r="E7" s="254"/>
      <c r="F7" s="256"/>
      <c r="G7" s="256"/>
      <c r="H7" s="257"/>
    </row>
    <row r="8" spans="2:10">
      <c r="B8" s="249" t="s">
        <v>218</v>
      </c>
      <c r="C8" s="232" t="s">
        <v>221</v>
      </c>
      <c r="D8" s="232"/>
      <c r="E8" s="252"/>
      <c r="F8" s="275" t="s">
        <v>220</v>
      </c>
      <c r="G8" s="232" t="s">
        <v>221</v>
      </c>
      <c r="H8" s="276"/>
    </row>
    <row r="9" spans="2:10">
      <c r="B9" s="245"/>
      <c r="C9" s="287"/>
      <c r="D9" s="273" t="s">
        <v>224</v>
      </c>
      <c r="E9" s="287"/>
      <c r="F9" s="93"/>
      <c r="G9" s="273"/>
      <c r="H9" s="287"/>
    </row>
    <row r="10" spans="2:10">
      <c r="B10" s="250" t="s">
        <v>227</v>
      </c>
      <c r="C10" s="254" t="s">
        <v>504</v>
      </c>
      <c r="D10" s="254">
        <v>45264</v>
      </c>
      <c r="E10" s="256"/>
      <c r="F10" s="274"/>
      <c r="G10" s="256"/>
      <c r="H10" s="256"/>
    </row>
    <row r="11" spans="2:10">
      <c r="B11" s="251" t="s">
        <v>231</v>
      </c>
      <c r="C11" s="232" t="s">
        <v>504</v>
      </c>
      <c r="D11" s="252">
        <v>45264</v>
      </c>
      <c r="E11" s="232"/>
      <c r="F11" s="275"/>
      <c r="G11" s="232"/>
      <c r="H11" s="276"/>
    </row>
    <row r="12" spans="2:10">
      <c r="B12" s="250"/>
      <c r="C12" s="256"/>
      <c r="D12" s="256"/>
      <c r="E12" s="254"/>
      <c r="F12" s="256"/>
      <c r="G12" s="256"/>
      <c r="H12" s="257"/>
    </row>
    <row r="13" spans="2:10">
      <c r="B13" s="249" t="s">
        <v>236</v>
      </c>
      <c r="C13" s="232" t="s">
        <v>237</v>
      </c>
      <c r="D13" s="232"/>
      <c r="E13" s="252"/>
      <c r="F13" s="275" t="s">
        <v>238</v>
      </c>
      <c r="G13" s="232" t="s">
        <v>237</v>
      </c>
      <c r="H13" s="276"/>
    </row>
    <row r="14" spans="2:10" ht="17.8" customHeight="1">
      <c r="B14" s="250"/>
      <c r="C14" s="380"/>
      <c r="D14" s="381"/>
      <c r="E14" s="256"/>
      <c r="F14" s="256"/>
      <c r="G14" s="256"/>
      <c r="H14" s="257"/>
    </row>
    <row r="15" spans="2:10">
      <c r="B15" s="242"/>
      <c r="C15" s="382"/>
      <c r="D15" s="383"/>
      <c r="E15" s="275" t="s">
        <v>240</v>
      </c>
      <c r="F15" s="275" t="s">
        <v>241</v>
      </c>
      <c r="G15" s="232" t="s">
        <v>237</v>
      </c>
      <c r="H15" s="276"/>
    </row>
    <row r="16" spans="2:10">
      <c r="B16" s="250" t="s">
        <v>243</v>
      </c>
      <c r="C16" s="380" t="s">
        <v>505</v>
      </c>
      <c r="D16" s="381"/>
      <c r="E16" s="256">
        <v>100</v>
      </c>
      <c r="F16" s="256" t="s">
        <v>237</v>
      </c>
      <c r="G16" s="256"/>
      <c r="H16" s="257"/>
    </row>
    <row r="17" spans="2:10">
      <c r="B17" s="242"/>
      <c r="C17" s="382"/>
      <c r="D17" s="383"/>
      <c r="E17" s="232"/>
      <c r="F17" s="232"/>
      <c r="G17" s="232"/>
      <c r="H17" s="276"/>
    </row>
    <row r="18" spans="2:10">
      <c r="B18" s="250" t="s">
        <v>247</v>
      </c>
      <c r="C18" s="274" t="s">
        <v>248</v>
      </c>
      <c r="D18" s="274" t="s">
        <v>82</v>
      </c>
      <c r="E18" s="300" t="s">
        <v>83</v>
      </c>
      <c r="F18" s="274" t="s">
        <v>249</v>
      </c>
      <c r="G18" s="256"/>
      <c r="H18" s="257"/>
    </row>
    <row r="19" spans="2:10">
      <c r="B19" s="240"/>
      <c r="C19" s="232" t="s">
        <v>251</v>
      </c>
      <c r="D19" s="44" t="s">
        <v>619</v>
      </c>
      <c r="E19" s="44">
        <v>268693995</v>
      </c>
      <c r="F19" s="44" t="s">
        <v>620</v>
      </c>
      <c r="G19" s="232"/>
      <c r="H19" s="276"/>
    </row>
    <row r="20" spans="2:10">
      <c r="B20" s="259"/>
      <c r="C20" s="256" t="s">
        <v>317</v>
      </c>
      <c r="D20" s="256" t="s">
        <v>621</v>
      </c>
      <c r="E20" s="260">
        <v>699642</v>
      </c>
      <c r="F20" s="254">
        <v>45282</v>
      </c>
      <c r="G20" s="256"/>
      <c r="H20" s="257"/>
    </row>
    <row r="21" spans="2:10">
      <c r="B21" s="240"/>
      <c r="C21" s="232"/>
      <c r="D21" s="232"/>
      <c r="E21" s="252"/>
      <c r="F21" s="232"/>
      <c r="G21" s="232"/>
      <c r="H21" s="276"/>
    </row>
    <row r="22" spans="2:10">
      <c r="B22" s="259"/>
      <c r="C22" s="256"/>
      <c r="D22" s="256"/>
      <c r="E22" s="254"/>
      <c r="F22" s="256"/>
      <c r="G22" s="256"/>
      <c r="H22" s="257"/>
    </row>
    <row r="23" spans="2:10">
      <c r="B23" s="240"/>
      <c r="C23" s="232"/>
      <c r="D23" s="232"/>
      <c r="E23" s="252"/>
      <c r="F23" s="232"/>
      <c r="G23" s="232"/>
      <c r="H23" s="276"/>
    </row>
    <row r="24" spans="2:10">
      <c r="B24" t="s">
        <v>259</v>
      </c>
      <c r="C24" s="69" t="s">
        <v>612</v>
      </c>
      <c r="D24" t="s">
        <v>260</v>
      </c>
      <c r="E24" t="s">
        <v>622</v>
      </c>
    </row>
    <row r="26" spans="2:10" ht="15.9">
      <c r="B26" s="170" t="s">
        <v>262</v>
      </c>
      <c r="C26" s="170" t="s">
        <v>263</v>
      </c>
      <c r="D26" s="170" t="s">
        <v>264</v>
      </c>
      <c r="E26" s="170" t="s">
        <v>265</v>
      </c>
      <c r="F26" s="170" t="s">
        <v>266</v>
      </c>
      <c r="G26" s="170" t="s">
        <v>267</v>
      </c>
      <c r="H26" s="170" t="s">
        <v>268</v>
      </c>
      <c r="J26" s="170"/>
    </row>
    <row r="27" spans="2:10" outlineLevel="1">
      <c r="B27" t="s">
        <v>626</v>
      </c>
      <c r="C27" t="s">
        <v>204</v>
      </c>
      <c r="D27" t="str">
        <f>VLOOKUP(C27,'Document Type'!$B$6:$C$34,2,FALSE)</f>
        <v>Company Setup</v>
      </c>
      <c r="E27" s="218">
        <v>45264</v>
      </c>
      <c r="G27" t="s">
        <v>626</v>
      </c>
      <c r="H27" t="s">
        <v>148</v>
      </c>
    </row>
    <row r="28" spans="2:10" outlineLevel="1">
      <c r="B28" t="s">
        <v>628</v>
      </c>
      <c r="C28" t="s">
        <v>204</v>
      </c>
      <c r="D28" t="str">
        <f>VLOOKUP(C28,'Document Type'!$B$6:$C$34,2,FALSE)</f>
        <v>Company Setup</v>
      </c>
      <c r="E28" s="218">
        <v>45264</v>
      </c>
      <c r="G28" t="s">
        <v>628</v>
      </c>
      <c r="H28" t="s">
        <v>148</v>
      </c>
    </row>
    <row r="29" spans="2:10" outlineLevel="1">
      <c r="B29" t="s">
        <v>640</v>
      </c>
      <c r="C29" t="s">
        <v>229</v>
      </c>
      <c r="D29" t="str">
        <f>VLOOKUP(C29,'Document Type'!$B$6:$C$34,2,FALSE)</f>
        <v>Assets</v>
      </c>
      <c r="E29" s="218">
        <v>45468</v>
      </c>
      <c r="G29" t="s">
        <v>641</v>
      </c>
      <c r="H29" t="s">
        <v>148</v>
      </c>
    </row>
    <row r="30" spans="2:10" outlineLevel="1">
      <c r="B30" t="s">
        <v>625</v>
      </c>
      <c r="C30" t="s">
        <v>213</v>
      </c>
      <c r="D30" t="str">
        <f>VLOOKUP(C30,'Document Type'!$B$6:$C$34,2,FALSE)</f>
        <v>Constitution</v>
      </c>
      <c r="E30" s="218">
        <v>45264</v>
      </c>
      <c r="G30" s="69" t="s">
        <v>625</v>
      </c>
      <c r="H30" t="s">
        <v>148</v>
      </c>
    </row>
    <row r="31" spans="2:10" outlineLevel="1">
      <c r="B31" s="14" t="s">
        <v>270</v>
      </c>
      <c r="C31" t="s">
        <v>253</v>
      </c>
      <c r="D31" t="str">
        <f>VLOOKUP(C31,'Document Type'!$B$6:$C$34,2,FALSE)</f>
        <v>General</v>
      </c>
      <c r="E31" s="218">
        <v>45471</v>
      </c>
      <c r="G31" s="253" t="s">
        <v>623</v>
      </c>
      <c r="H31" t="s">
        <v>148</v>
      </c>
    </row>
    <row r="32" spans="2:10" outlineLevel="1">
      <c r="B32" t="s">
        <v>272</v>
      </c>
      <c r="C32" t="s">
        <v>234</v>
      </c>
      <c r="D32" t="str">
        <f>VLOOKUP(C32,'Document Type'!$B$6:$C$34,2,FALSE)</f>
        <v>General</v>
      </c>
      <c r="E32" s="218">
        <v>45471</v>
      </c>
      <c r="G32" s="253" t="s">
        <v>624</v>
      </c>
      <c r="H32" t="s">
        <v>148</v>
      </c>
    </row>
    <row r="33" spans="2:8" outlineLevel="1">
      <c r="B33" t="s">
        <v>1320</v>
      </c>
      <c r="C33" t="s">
        <v>245</v>
      </c>
      <c r="D33" t="str">
        <f>VLOOKUP(C33,'Document Type'!$B$6:$C$34,2,FALSE)</f>
        <v>General</v>
      </c>
      <c r="E33" s="218">
        <v>45562</v>
      </c>
      <c r="G33" t="s">
        <v>1319</v>
      </c>
      <c r="H33" t="s">
        <v>439</v>
      </c>
    </row>
    <row r="34" spans="2:8" outlineLevel="1">
      <c r="B34" t="s">
        <v>1322</v>
      </c>
      <c r="C34" t="s">
        <v>245</v>
      </c>
      <c r="D34" t="str">
        <f>VLOOKUP(C34,'Document Type'!$B$6:$C$34,2,FALSE)</f>
        <v>General</v>
      </c>
      <c r="E34" s="218">
        <v>45562</v>
      </c>
      <c r="G34" t="s">
        <v>1321</v>
      </c>
      <c r="H34" t="s">
        <v>439</v>
      </c>
    </row>
    <row r="35" spans="2:8" outlineLevel="1">
      <c r="B35" t="s">
        <v>639</v>
      </c>
      <c r="C35" t="s">
        <v>229</v>
      </c>
      <c r="D35" t="str">
        <f>VLOOKUP(C35,'Document Type'!$B$6:$C$34,2,FALSE)</f>
        <v>Assets</v>
      </c>
      <c r="E35" s="218">
        <v>45468</v>
      </c>
      <c r="G35" t="s">
        <v>639</v>
      </c>
      <c r="H35" t="s">
        <v>148</v>
      </c>
    </row>
    <row r="36" spans="2:8" outlineLevel="1">
      <c r="B36" t="s">
        <v>630</v>
      </c>
      <c r="C36" t="s">
        <v>196</v>
      </c>
      <c r="D36" t="str">
        <f>VLOOKUP(C36,'Document Type'!$B$6:$C$34,2,FALSE)</f>
        <v>Loans and Security</v>
      </c>
      <c r="E36" s="218">
        <v>45275</v>
      </c>
      <c r="G36" t="s">
        <v>630</v>
      </c>
      <c r="H36" t="s">
        <v>148</v>
      </c>
    </row>
    <row r="37" spans="2:8" outlineLevel="1">
      <c r="B37" t="s">
        <v>629</v>
      </c>
      <c r="C37" t="s">
        <v>196</v>
      </c>
      <c r="D37" t="str">
        <f>VLOOKUP(C37,'Document Type'!$B$6:$C$34,2,FALSE)</f>
        <v>Loans and Security</v>
      </c>
      <c r="E37" s="218">
        <v>45275</v>
      </c>
      <c r="G37" t="s">
        <v>629</v>
      </c>
      <c r="H37" t="s">
        <v>148</v>
      </c>
    </row>
    <row r="38" spans="2:8" outlineLevel="1">
      <c r="B38" t="s">
        <v>631</v>
      </c>
      <c r="C38" t="s">
        <v>196</v>
      </c>
      <c r="D38" t="str">
        <f>VLOOKUP(C38,'Document Type'!$B$6:$C$34,2,FALSE)</f>
        <v>Loans and Security</v>
      </c>
      <c r="E38" s="218">
        <v>45275</v>
      </c>
      <c r="G38" t="s">
        <v>631</v>
      </c>
      <c r="H38" t="s">
        <v>148</v>
      </c>
    </row>
    <row r="39" spans="2:8" outlineLevel="1">
      <c r="B39" t="s">
        <v>632</v>
      </c>
      <c r="C39" t="s">
        <v>196</v>
      </c>
      <c r="D39" t="str">
        <f>VLOOKUP(C39,'Document Type'!$B$6:$C$34,2,FALSE)</f>
        <v>Loans and Security</v>
      </c>
      <c r="E39" s="218">
        <v>45275</v>
      </c>
      <c r="G39" t="s">
        <v>632</v>
      </c>
      <c r="H39" t="s">
        <v>148</v>
      </c>
    </row>
    <row r="40" spans="2:8" outlineLevel="1">
      <c r="B40" t="s">
        <v>627</v>
      </c>
      <c r="C40" t="s">
        <v>216</v>
      </c>
      <c r="D40" t="str">
        <f>VLOOKUP(C40,'Document Type'!$B$6:$C$34,2,FALSE)</f>
        <v>Register of Members</v>
      </c>
      <c r="E40" s="218">
        <v>45264</v>
      </c>
      <c r="G40" t="s">
        <v>627</v>
      </c>
      <c r="H40" t="s">
        <v>148</v>
      </c>
    </row>
    <row r="41" spans="2:8" outlineLevel="1">
      <c r="B41" t="s">
        <v>633</v>
      </c>
      <c r="C41" t="s">
        <v>229</v>
      </c>
      <c r="D41" t="str">
        <f>VLOOKUP(C41,'Document Type'!$B$6:$C$34,2,FALSE)</f>
        <v>Assets</v>
      </c>
      <c r="E41" s="218">
        <v>45405</v>
      </c>
      <c r="G41" t="s">
        <v>634</v>
      </c>
      <c r="H41" t="s">
        <v>148</v>
      </c>
    </row>
    <row r="42" spans="2:8" outlineLevel="1">
      <c r="B42" t="s">
        <v>635</v>
      </c>
      <c r="C42" t="s">
        <v>229</v>
      </c>
      <c r="D42" t="str">
        <f>VLOOKUP(C42,'Document Type'!$B$6:$C$34,2,FALSE)</f>
        <v>Assets</v>
      </c>
      <c r="E42" s="218">
        <v>45449</v>
      </c>
      <c r="G42" t="s">
        <v>636</v>
      </c>
      <c r="H42" t="s">
        <v>148</v>
      </c>
    </row>
    <row r="43" spans="2:8" outlineLevel="1">
      <c r="B43" t="s">
        <v>637</v>
      </c>
      <c r="C43" t="s">
        <v>229</v>
      </c>
      <c r="D43" t="str">
        <f>VLOOKUP(C43,'Document Type'!$B$6:$C$34,2,FALSE)</f>
        <v>Assets</v>
      </c>
      <c r="E43" s="218">
        <v>45405</v>
      </c>
      <c r="G43" t="s">
        <v>638</v>
      </c>
      <c r="H43" t="s">
        <v>148</v>
      </c>
    </row>
    <row r="44" spans="2:8" outlineLevel="1">
      <c r="B44" t="s">
        <v>1419</v>
      </c>
      <c r="C44" t="s">
        <v>225</v>
      </c>
      <c r="D44" t="str">
        <f>VLOOKUP(C44,'Document Type'!$B$6:$C$34,2,FALSE)</f>
        <v>General</v>
      </c>
      <c r="E44" s="218">
        <v>45937</v>
      </c>
      <c r="G44" s="69" t="s">
        <v>1420</v>
      </c>
    </row>
    <row r="45" spans="2:8" outlineLevel="1">
      <c r="C45" t="s">
        <v>253</v>
      </c>
      <c r="D45" t="str">
        <f>VLOOKUP(C45,'Document Type'!$B$6:$C$34,2,FALSE)</f>
        <v>General</v>
      </c>
      <c r="G45" s="69" t="s">
        <v>623</v>
      </c>
    </row>
    <row r="46" spans="2:8" outlineLevel="1">
      <c r="D46" t="e">
        <f>VLOOKUP(C46,'Document Type'!$B$6:$C$34,2,FALSE)</f>
        <v>#N/A</v>
      </c>
    </row>
    <row r="47" spans="2:8" outlineLevel="1">
      <c r="D47" t="e">
        <f>VLOOKUP(C47,'Document Type'!$B$6:$C$34,2,FALSE)</f>
        <v>#N/A</v>
      </c>
    </row>
    <row r="48" spans="2:8" outlineLevel="1">
      <c r="D48" t="e">
        <f>VLOOKUP(C48,'Document Type'!$B$6:$C$34,2,FALSE)</f>
        <v>#N/A</v>
      </c>
    </row>
    <row r="49" spans="2:18" outlineLevel="1">
      <c r="D49" t="e">
        <f>VLOOKUP(C49,'Document Type'!$B$6:$C$34,2,FALSE)</f>
        <v>#N/A</v>
      </c>
    </row>
    <row r="50" spans="2:18" outlineLevel="1">
      <c r="D50" t="e">
        <f>VLOOKUP(C50,'Document Type'!$B$6:$C$34,2,FALSE)</f>
        <v>#N/A</v>
      </c>
    </row>
    <row r="51" spans="2:18" outlineLevel="1">
      <c r="D51" t="e">
        <f>VLOOKUP(C51,'Document Type'!$B$6:$C$34,2,FALSE)</f>
        <v>#N/A</v>
      </c>
    </row>
    <row r="52" spans="2:18" outlineLevel="1">
      <c r="D52" t="e">
        <f>VLOOKUP(C52,'Document Type'!$B$6:$C$34,2,FALSE)</f>
        <v>#N/A</v>
      </c>
    </row>
    <row r="53" spans="2:18" outlineLevel="1">
      <c r="D53" t="e">
        <f>VLOOKUP(C53,'Document Type'!$B$6:$C$34,2,FALSE)</f>
        <v>#N/A</v>
      </c>
    </row>
    <row r="54" spans="2:18" outlineLevel="1">
      <c r="D54" t="e">
        <f>VLOOKUP(C54,'Document Type'!$B$6:$C$34,2,FALSE)</f>
        <v>#N/A</v>
      </c>
    </row>
    <row r="55" spans="2:18" outlineLevel="1">
      <c r="D55" t="e">
        <f>VLOOKUP(C55,'Document Type'!$B$6:$C$34,2,FALSE)</f>
        <v>#N/A</v>
      </c>
    </row>
    <row r="56" spans="2:18" outlineLevel="1">
      <c r="D56" t="e">
        <f>VLOOKUP(C56,'Document Type'!$B$6:$C$34,2,FALSE)</f>
        <v>#N/A</v>
      </c>
    </row>
    <row r="57" spans="2:18" outlineLevel="1">
      <c r="D57" t="e">
        <f>VLOOKUP(C57,'Document Type'!$B$6:$C$34,2,FALSE)</f>
        <v>#N/A</v>
      </c>
    </row>
    <row r="58" spans="2:18" outlineLevel="1">
      <c r="D58" t="e">
        <f>VLOOKUP(C58,'Document Type'!$B$6:$C$34,2,FALSE)</f>
        <v>#N/A</v>
      </c>
    </row>
    <row r="59" spans="2:18" outlineLevel="1">
      <c r="D59" t="e">
        <f>VLOOKUP(C59,'Document Type'!$B$6:$C$34,2,FALSE)</f>
        <v>#N/A</v>
      </c>
    </row>
    <row r="60" spans="2:18" outlineLevel="1">
      <c r="D60" t="e">
        <f>VLOOKUP(C60,'Document Type'!$B$6:$C$34,2,FALSE)</f>
        <v>#N/A</v>
      </c>
    </row>
    <row r="61" spans="2:18" outlineLevel="1">
      <c r="D61" t="e">
        <f>VLOOKUP(C61,'Document Type'!$B$6:$C$34,2,FALSE)</f>
        <v>#N/A</v>
      </c>
    </row>
    <row r="63" spans="2:18" ht="15.9">
      <c r="B63" s="170" t="s">
        <v>289</v>
      </c>
    </row>
    <row r="64" spans="2:18">
      <c r="B64" s="350" t="s">
        <v>265</v>
      </c>
      <c r="C64" s="350" t="s">
        <v>290</v>
      </c>
      <c r="D64" s="350" t="s">
        <v>291</v>
      </c>
      <c r="E64" s="351" t="s">
        <v>292</v>
      </c>
      <c r="F64" s="350" t="s">
        <v>293</v>
      </c>
      <c r="G64" s="350" t="s">
        <v>294</v>
      </c>
      <c r="H64" s="352" t="s">
        <v>295</v>
      </c>
      <c r="I64" s="353" t="s">
        <v>296</v>
      </c>
      <c r="J64" s="354" t="s">
        <v>297</v>
      </c>
      <c r="K64" s="199" t="s">
        <v>298</v>
      </c>
      <c r="L64" s="199" t="s">
        <v>299</v>
      </c>
      <c r="M64" s="199" t="s">
        <v>300</v>
      </c>
      <c r="N64" s="354" t="s">
        <v>301</v>
      </c>
      <c r="O64" s="199" t="s">
        <v>302</v>
      </c>
      <c r="P64" s="199" t="s">
        <v>303</v>
      </c>
      <c r="Q64" s="199" t="s">
        <v>304</v>
      </c>
      <c r="R64" s="199"/>
    </row>
    <row r="65" spans="2:17" hidden="1" outlineLevel="1">
      <c r="B65" s="140" t="s">
        <v>642</v>
      </c>
      <c r="C65" s="93" t="s">
        <v>437</v>
      </c>
      <c r="D65" s="93" t="s">
        <v>402</v>
      </c>
      <c r="E65" s="93">
        <v>1</v>
      </c>
      <c r="F65" s="93">
        <v>1</v>
      </c>
      <c r="G65" s="93">
        <v>100</v>
      </c>
      <c r="H65" s="93">
        <v>100</v>
      </c>
      <c r="I65" s="93"/>
      <c r="J65" s="209">
        <v>0.01</v>
      </c>
      <c r="K65" s="93"/>
      <c r="L65" s="93" t="s">
        <v>403</v>
      </c>
      <c r="M65" s="93">
        <v>100</v>
      </c>
      <c r="N65" s="209">
        <v>1</v>
      </c>
      <c r="O65" s="93" t="s">
        <v>403</v>
      </c>
      <c r="P65" s="93" t="s">
        <v>505</v>
      </c>
      <c r="Q65" s="93"/>
    </row>
    <row r="66" spans="2:17" hidden="1" outlineLevel="1">
      <c r="B66" s="140"/>
      <c r="C66" s="93"/>
      <c r="D66" s="93"/>
      <c r="E66" s="93"/>
      <c r="F66" s="93"/>
      <c r="G66" s="93"/>
      <c r="H66" s="93"/>
      <c r="I66" s="93"/>
      <c r="J66" s="209"/>
      <c r="K66" s="93"/>
      <c r="L66" s="93"/>
      <c r="M66" s="93"/>
      <c r="N66" s="209"/>
      <c r="O66" s="93"/>
      <c r="P66" s="93"/>
      <c r="Q66" s="93"/>
    </row>
    <row r="67" spans="2:17" hidden="1" outlineLevel="1">
      <c r="B67" s="140"/>
      <c r="C67" s="93"/>
      <c r="D67" s="93"/>
      <c r="E67" s="93"/>
      <c r="F67" s="93"/>
      <c r="G67" s="93"/>
      <c r="H67" s="93"/>
      <c r="I67" s="93"/>
      <c r="J67" s="209"/>
      <c r="K67" s="93"/>
      <c r="L67" s="93"/>
      <c r="M67" s="93"/>
      <c r="N67" s="209"/>
      <c r="O67" s="93"/>
      <c r="P67" s="93"/>
      <c r="Q67" s="93"/>
    </row>
    <row r="68" spans="2:17" hidden="1" outlineLevel="1">
      <c r="B68" s="140"/>
      <c r="C68" s="93"/>
      <c r="D68" s="93"/>
      <c r="E68" s="93"/>
      <c r="F68" s="93"/>
      <c r="G68" s="93"/>
      <c r="H68" s="93"/>
      <c r="I68" s="93"/>
      <c r="J68" s="209"/>
      <c r="K68" s="93"/>
      <c r="L68" s="93"/>
      <c r="M68" s="93"/>
      <c r="N68" s="209"/>
      <c r="O68" s="93"/>
      <c r="P68" s="93"/>
      <c r="Q68" s="93"/>
    </row>
    <row r="69" spans="2:17" hidden="1" outlineLevel="1">
      <c r="B69" s="140"/>
      <c r="C69" s="93"/>
      <c r="D69" s="93"/>
      <c r="E69" s="93"/>
      <c r="F69" s="93"/>
      <c r="G69" s="93"/>
      <c r="H69" s="93"/>
      <c r="I69" s="93"/>
      <c r="J69" s="209"/>
      <c r="K69" s="93"/>
      <c r="L69" s="93"/>
      <c r="M69" s="93"/>
      <c r="N69" s="209"/>
      <c r="O69" s="93"/>
      <c r="P69" s="93"/>
      <c r="Q69" s="93"/>
    </row>
    <row r="70" spans="2:17" hidden="1" outlineLevel="1">
      <c r="B70" s="140"/>
      <c r="C70" s="93"/>
      <c r="D70" s="93"/>
      <c r="E70" s="93"/>
      <c r="F70" s="93"/>
      <c r="G70" s="93"/>
      <c r="H70" s="93"/>
      <c r="I70" s="93"/>
      <c r="J70" s="209"/>
      <c r="K70" s="93"/>
      <c r="L70" s="93"/>
      <c r="M70" s="93"/>
      <c r="N70" s="209"/>
      <c r="O70" s="93"/>
      <c r="P70" s="93"/>
      <c r="Q70" s="93"/>
    </row>
    <row r="71" spans="2:17" hidden="1" outlineLevel="1">
      <c r="B71" s="140"/>
      <c r="C71" s="93"/>
      <c r="D71" s="93"/>
      <c r="E71" s="93"/>
      <c r="F71" s="93"/>
      <c r="G71" s="93"/>
      <c r="H71" s="93"/>
      <c r="I71" s="93"/>
      <c r="J71" s="209"/>
      <c r="K71" s="93"/>
      <c r="L71" s="93"/>
      <c r="M71" s="93"/>
      <c r="N71" s="209"/>
      <c r="O71" s="93"/>
      <c r="P71" s="93"/>
      <c r="Q71" s="93"/>
    </row>
    <row r="72" spans="2:17" hidden="1" outlineLevel="1">
      <c r="B72" s="140"/>
      <c r="C72" s="93"/>
      <c r="D72" s="93"/>
      <c r="E72" s="93"/>
      <c r="F72" s="93"/>
      <c r="G72" s="93"/>
      <c r="H72" s="93"/>
      <c r="I72" s="93"/>
      <c r="J72" s="209"/>
      <c r="K72" s="93"/>
      <c r="L72" s="93"/>
      <c r="M72" s="93"/>
      <c r="N72" s="209"/>
      <c r="O72" s="93"/>
      <c r="P72" s="93"/>
      <c r="Q72" s="93"/>
    </row>
    <row r="73" spans="2:17" hidden="1" outlineLevel="1">
      <c r="B73" s="140"/>
      <c r="C73" s="93"/>
      <c r="D73" s="93"/>
      <c r="E73" s="93"/>
      <c r="F73" s="93"/>
      <c r="G73" s="93"/>
      <c r="H73" s="93"/>
      <c r="I73" s="93"/>
      <c r="J73" s="209"/>
      <c r="K73" s="93"/>
      <c r="L73" s="93"/>
      <c r="M73" s="93"/>
      <c r="N73" s="209"/>
      <c r="O73" s="93"/>
      <c r="P73" s="93"/>
      <c r="Q73" s="93"/>
    </row>
    <row r="74" spans="2:17" hidden="1" outlineLevel="1">
      <c r="B74" s="140"/>
      <c r="C74" s="93"/>
      <c r="D74" s="93"/>
      <c r="E74" s="93"/>
      <c r="F74" s="93"/>
      <c r="G74" s="93"/>
      <c r="H74" s="93"/>
      <c r="I74" s="93"/>
      <c r="J74" s="209"/>
      <c r="K74" s="93"/>
      <c r="L74" s="93"/>
      <c r="M74" s="93"/>
      <c r="N74" s="209"/>
      <c r="O74" s="93"/>
      <c r="P74" s="93"/>
      <c r="Q74" s="93"/>
    </row>
    <row r="75" spans="2:17" hidden="1" outlineLevel="1">
      <c r="B75" s="140"/>
      <c r="C75" s="93"/>
      <c r="D75" s="93"/>
      <c r="E75" s="93"/>
      <c r="F75" s="93"/>
      <c r="G75" s="93"/>
      <c r="H75" s="93"/>
      <c r="I75" s="93"/>
      <c r="J75" s="209"/>
      <c r="K75" s="93"/>
      <c r="L75" s="93"/>
      <c r="M75" s="93"/>
      <c r="N75" s="209"/>
      <c r="O75" s="93"/>
      <c r="P75" s="93"/>
      <c r="Q75" s="93"/>
    </row>
    <row r="76" spans="2:17" hidden="1" outlineLevel="1">
      <c r="B76" s="140"/>
      <c r="C76" s="93"/>
      <c r="D76" s="93"/>
      <c r="E76" s="93"/>
      <c r="F76" s="93"/>
      <c r="G76" s="93"/>
      <c r="H76" s="93"/>
      <c r="I76" s="93"/>
      <c r="J76" s="209"/>
      <c r="K76" s="93"/>
      <c r="L76" s="93"/>
      <c r="M76" s="93"/>
      <c r="N76" s="209"/>
      <c r="O76" s="93"/>
      <c r="P76" s="93"/>
      <c r="Q76" s="93"/>
    </row>
    <row r="77" spans="2:17" hidden="1" outlineLevel="1">
      <c r="B77" s="140"/>
      <c r="C77" s="93"/>
      <c r="D77" s="93"/>
      <c r="E77" s="93"/>
      <c r="F77" s="93"/>
      <c r="G77" s="93"/>
      <c r="H77" s="93"/>
      <c r="I77" s="93"/>
      <c r="J77" s="209"/>
      <c r="K77" s="93"/>
      <c r="L77" s="93"/>
      <c r="M77" s="93"/>
      <c r="N77" s="209"/>
      <c r="O77" s="93"/>
      <c r="P77" s="93"/>
      <c r="Q77" s="93"/>
    </row>
    <row r="78" spans="2:17" hidden="1" outlineLevel="1">
      <c r="B78" s="140"/>
      <c r="C78" s="93"/>
      <c r="D78" s="93"/>
      <c r="E78" s="93"/>
      <c r="F78" s="93"/>
      <c r="G78" s="93"/>
      <c r="H78" s="93"/>
      <c r="I78" s="93"/>
      <c r="J78" s="209"/>
      <c r="K78" s="93"/>
      <c r="L78" s="93"/>
      <c r="M78" s="93"/>
      <c r="N78" s="209"/>
      <c r="O78" s="93"/>
      <c r="P78" s="93"/>
      <c r="Q78" s="93"/>
    </row>
    <row r="79" spans="2:17" hidden="1" outlineLevel="1">
      <c r="B79" s="140"/>
      <c r="C79" s="93"/>
      <c r="D79" s="93"/>
      <c r="E79" s="93"/>
      <c r="F79" s="93"/>
      <c r="G79" s="93"/>
      <c r="H79" s="93"/>
      <c r="I79" s="93"/>
      <c r="J79" s="209"/>
      <c r="K79" s="93"/>
      <c r="L79" s="93"/>
      <c r="M79" s="93"/>
      <c r="N79" s="209"/>
      <c r="O79" s="93"/>
      <c r="P79" s="93"/>
      <c r="Q79" s="93"/>
    </row>
    <row r="80" spans="2:17" hidden="1" outlineLevel="1">
      <c r="B80" s="140"/>
      <c r="C80" s="93"/>
      <c r="D80" s="93"/>
      <c r="E80" s="93"/>
      <c r="F80" s="93"/>
      <c r="G80" s="93"/>
      <c r="H80" s="93"/>
      <c r="I80" s="93"/>
      <c r="J80" s="209"/>
      <c r="K80" s="93"/>
      <c r="L80" s="93"/>
      <c r="M80" s="93"/>
      <c r="N80" s="209"/>
      <c r="O80" s="93"/>
      <c r="P80" s="93"/>
      <c r="Q80" s="93"/>
    </row>
    <row r="81" spans="2:17" hidden="1" outlineLevel="1">
      <c r="B81" s="140"/>
      <c r="C81" s="93"/>
      <c r="D81" s="93"/>
      <c r="E81" s="93"/>
      <c r="F81" s="93"/>
      <c r="G81" s="93"/>
      <c r="H81" s="93"/>
      <c r="I81" s="93"/>
      <c r="J81" s="209"/>
      <c r="K81" s="93"/>
      <c r="L81" s="93"/>
      <c r="M81" s="93"/>
      <c r="N81" s="209"/>
      <c r="O81" s="93"/>
      <c r="P81" s="93"/>
      <c r="Q81" s="93"/>
    </row>
    <row r="82" spans="2:17" hidden="1" outlineLevel="1">
      <c r="B82" s="140"/>
      <c r="C82" s="93"/>
      <c r="D82" s="93"/>
      <c r="E82" s="93"/>
      <c r="F82" s="93"/>
      <c r="G82" s="93"/>
      <c r="H82" s="93"/>
      <c r="I82" s="93"/>
      <c r="J82" s="209"/>
      <c r="K82" s="93"/>
      <c r="L82" s="93"/>
      <c r="M82" s="93"/>
      <c r="N82" s="209"/>
      <c r="O82" s="93"/>
      <c r="P82" s="93"/>
      <c r="Q82" s="93"/>
    </row>
    <row r="83" spans="2:17" hidden="1" outlineLevel="1">
      <c r="B83" s="93"/>
      <c r="C83" s="93"/>
      <c r="D83" s="93"/>
      <c r="E83" s="93"/>
      <c r="F83" s="93"/>
      <c r="G83" s="93"/>
      <c r="H83" s="93"/>
      <c r="I83" s="93"/>
      <c r="J83" s="209"/>
      <c r="K83" s="93"/>
      <c r="L83" s="93"/>
      <c r="M83" s="93"/>
      <c r="N83" s="209"/>
      <c r="O83" s="93"/>
      <c r="P83" s="93"/>
      <c r="Q83" s="93"/>
    </row>
    <row r="84" spans="2:17" hidden="1" outlineLevel="1">
      <c r="B84" s="93"/>
      <c r="C84" s="93"/>
      <c r="D84" s="93"/>
      <c r="E84" s="93"/>
      <c r="F84" s="93"/>
      <c r="G84" s="93"/>
      <c r="H84" s="93"/>
      <c r="I84" s="93"/>
      <c r="J84" s="209"/>
      <c r="K84" s="93"/>
      <c r="L84" s="93"/>
      <c r="M84" s="93"/>
      <c r="N84" s="209"/>
      <c r="O84" s="93"/>
      <c r="P84" s="93"/>
      <c r="Q84" s="93"/>
    </row>
    <row r="85" spans="2:17" hidden="1" outlineLevel="1">
      <c r="B85" s="93"/>
      <c r="C85" s="93"/>
      <c r="D85" s="93"/>
      <c r="E85" s="93"/>
      <c r="F85" s="93"/>
      <c r="G85" s="93"/>
      <c r="H85" s="93"/>
      <c r="I85" s="93"/>
      <c r="J85" s="209"/>
      <c r="K85" s="93"/>
      <c r="L85" s="93"/>
      <c r="M85" s="93"/>
      <c r="N85" s="209"/>
      <c r="O85" s="93"/>
      <c r="P85" s="93"/>
      <c r="Q85" s="93"/>
    </row>
    <row r="86" spans="2:17" hidden="1" outlineLevel="1">
      <c r="B86" s="93"/>
      <c r="C86" s="93"/>
      <c r="D86" s="93"/>
      <c r="E86" s="93"/>
      <c r="F86" s="93"/>
      <c r="G86" s="93"/>
      <c r="H86" s="93"/>
      <c r="I86" s="93"/>
      <c r="J86" s="209"/>
      <c r="K86" s="93"/>
      <c r="L86" s="93"/>
      <c r="M86" s="93"/>
      <c r="N86" s="209"/>
      <c r="O86" s="93"/>
      <c r="P86" s="93"/>
      <c r="Q86" s="93"/>
    </row>
    <row r="87" spans="2:17" hidden="1" outlineLevel="1">
      <c r="B87" s="93"/>
      <c r="C87" s="93"/>
      <c r="D87" s="93"/>
      <c r="E87" s="93"/>
      <c r="F87" s="93"/>
      <c r="G87" s="93"/>
      <c r="H87" s="93"/>
      <c r="I87" s="93"/>
      <c r="J87" s="209"/>
      <c r="K87" s="93"/>
      <c r="L87" s="93"/>
      <c r="M87" s="93"/>
      <c r="N87" s="209"/>
      <c r="O87" s="93"/>
      <c r="P87" s="93"/>
      <c r="Q87" s="93"/>
    </row>
    <row r="88" spans="2:17" hidden="1" outlineLevel="1">
      <c r="B88" s="93"/>
      <c r="C88" s="93"/>
      <c r="D88" s="93"/>
      <c r="E88" s="93"/>
      <c r="F88" s="93"/>
      <c r="G88" s="93"/>
      <c r="H88" s="93"/>
      <c r="I88" s="93"/>
      <c r="J88" s="209"/>
      <c r="K88" s="93"/>
      <c r="L88" s="93"/>
      <c r="M88" s="93"/>
      <c r="N88" s="209"/>
      <c r="O88" s="93"/>
      <c r="P88" s="93"/>
      <c r="Q88" s="93"/>
    </row>
    <row r="89" spans="2:17" hidden="1" outlineLevel="1">
      <c r="B89" s="93"/>
      <c r="C89" s="93"/>
      <c r="D89" s="93"/>
      <c r="E89" s="93"/>
      <c r="F89" s="93"/>
      <c r="G89" s="93"/>
      <c r="H89" s="93"/>
      <c r="I89" s="93"/>
      <c r="J89" s="209"/>
      <c r="K89" s="93"/>
      <c r="L89" s="93"/>
      <c r="M89" s="93"/>
      <c r="N89" s="209"/>
      <c r="O89" s="93"/>
      <c r="P89" s="93"/>
      <c r="Q89" s="93"/>
    </row>
    <row r="90" spans="2:17" hidden="1" outlineLevel="1">
      <c r="B90" s="93"/>
      <c r="C90" s="93"/>
      <c r="D90" s="93"/>
      <c r="E90" s="93"/>
      <c r="F90" s="93"/>
      <c r="G90" s="93"/>
      <c r="H90" s="93"/>
      <c r="I90" s="93"/>
      <c r="J90" s="209"/>
      <c r="K90" s="93"/>
      <c r="L90" s="93"/>
      <c r="M90" s="93"/>
      <c r="N90" s="209"/>
      <c r="O90" s="93"/>
      <c r="P90" s="93"/>
      <c r="Q90" s="93"/>
    </row>
    <row r="91" spans="2:17" collapsed="1"/>
    <row r="92" spans="2:17" ht="15.9">
      <c r="B92" s="170" t="s">
        <v>305</v>
      </c>
    </row>
    <row r="93" spans="2:17">
      <c r="B93" t="s">
        <v>224</v>
      </c>
      <c r="C93" t="s">
        <v>306</v>
      </c>
      <c r="D93" t="s">
        <v>307</v>
      </c>
      <c r="E93" t="s">
        <v>265</v>
      </c>
      <c r="F93" t="s">
        <v>308</v>
      </c>
      <c r="G93" t="s">
        <v>256</v>
      </c>
    </row>
    <row r="94" spans="2:17" hidden="1" outlineLevel="1">
      <c r="B94" t="s">
        <v>538</v>
      </c>
      <c r="C94" t="s">
        <v>612</v>
      </c>
      <c r="D94" s="112">
        <v>2000000</v>
      </c>
      <c r="E94" s="218">
        <v>45275</v>
      </c>
      <c r="F94" t="s">
        <v>237</v>
      </c>
      <c r="G94" t="s">
        <v>237</v>
      </c>
    </row>
    <row r="95" spans="2:17" hidden="1" outlineLevel="1">
      <c r="D95" s="112"/>
      <c r="E95" s="218"/>
    </row>
    <row r="96" spans="2:17" hidden="1" outlineLevel="1">
      <c r="D96" s="112"/>
      <c r="E96" s="218"/>
    </row>
    <row r="97" spans="2:7" hidden="1" outlineLevel="1">
      <c r="D97" s="112"/>
      <c r="E97" s="218"/>
    </row>
    <row r="98" spans="2:7" hidden="1" outlineLevel="1">
      <c r="D98" s="112"/>
    </row>
    <row r="99" spans="2:7" hidden="1" outlineLevel="1">
      <c r="D99" s="112"/>
    </row>
    <row r="100" spans="2:7" collapsed="1"/>
    <row r="101" spans="2:7" ht="15.9">
      <c r="B101" s="170" t="s">
        <v>309</v>
      </c>
    </row>
    <row r="102" spans="2:7">
      <c r="B102" t="s">
        <v>310</v>
      </c>
      <c r="C102" t="s">
        <v>311</v>
      </c>
      <c r="D102" t="s">
        <v>312</v>
      </c>
      <c r="E102" t="s">
        <v>313</v>
      </c>
      <c r="F102" t="s">
        <v>314</v>
      </c>
      <c r="G102" t="s">
        <v>315</v>
      </c>
    </row>
    <row r="103" spans="2:7" outlineLevel="1">
      <c r="B103" t="s">
        <v>643</v>
      </c>
      <c r="C103" s="218">
        <v>45405</v>
      </c>
      <c r="D103" s="112">
        <v>45454.55</v>
      </c>
      <c r="G103" s="112">
        <f>Table791337[[#This Row],[Sale Price]]-Table791337[[#This Row],[Purchase Price]]</f>
        <v>-45454.55</v>
      </c>
    </row>
    <row r="104" spans="2:7" outlineLevel="1">
      <c r="B104" t="s">
        <v>644</v>
      </c>
      <c r="C104" s="218">
        <v>45449</v>
      </c>
      <c r="D104" s="112">
        <v>6136.36</v>
      </c>
      <c r="G104" s="112">
        <f>Table791337[[#This Row],[Sale Price]]-Table791337[[#This Row],[Purchase Price]]</f>
        <v>-6136.36</v>
      </c>
    </row>
    <row r="105" spans="2:7" outlineLevel="1">
      <c r="B105" t="s">
        <v>637</v>
      </c>
      <c r="C105" s="218">
        <v>45405</v>
      </c>
      <c r="D105" s="112">
        <v>19090.91</v>
      </c>
      <c r="G105" s="112">
        <f>Table791337[[#This Row],[Sale Price]]-Table791337[[#This Row],[Purchase Price]]</f>
        <v>-19090.91</v>
      </c>
    </row>
    <row r="106" spans="2:7" outlineLevel="1">
      <c r="B106" t="s">
        <v>645</v>
      </c>
      <c r="C106" s="218">
        <v>45468</v>
      </c>
      <c r="D106" s="112">
        <v>80000</v>
      </c>
      <c r="G106" s="112">
        <f>Table791337[[#This Row],[Sale Price]]-Table791337[[#This Row],[Purchase Price]]</f>
        <v>-80000</v>
      </c>
    </row>
    <row r="107" spans="2:7" outlineLevel="1">
      <c r="B107" t="s">
        <v>640</v>
      </c>
      <c r="C107" s="218">
        <v>45468</v>
      </c>
      <c r="D107" s="112">
        <v>833.65</v>
      </c>
      <c r="G107" s="112">
        <f>Table791337[[#This Row],[Sale Price]]-Table791337[[#This Row],[Purchase Price]]</f>
        <v>-833.65</v>
      </c>
    </row>
    <row r="108" spans="2:7" outlineLevel="1">
      <c r="D108" s="112"/>
      <c r="G108" s="112">
        <f>Table791337[[#This Row],[Sale Price]]-Table791337[[#This Row],[Purchase Price]]</f>
        <v>0</v>
      </c>
    </row>
    <row r="109" spans="2:7" outlineLevel="1">
      <c r="D109" s="112"/>
      <c r="G109" s="112">
        <f>Table791337[[#This Row],[Sale Price]]-Table791337[[#This Row],[Purchase Price]]</f>
        <v>0</v>
      </c>
    </row>
    <row r="110" spans="2:7" outlineLevel="1">
      <c r="D110" s="112"/>
      <c r="G110" s="112">
        <f>Table791337[[#This Row],[Sale Price]]-Table791337[[#This Row],[Purchase Price]]</f>
        <v>0</v>
      </c>
    </row>
    <row r="111" spans="2:7" outlineLevel="1">
      <c r="D111" s="112"/>
      <c r="G111" s="112">
        <f>Table791337[[#This Row],[Sale Price]]-Table791337[[#This Row],[Purchase Price]]</f>
        <v>0</v>
      </c>
    </row>
    <row r="112" spans="2:7" outlineLevel="1">
      <c r="D112" s="112"/>
      <c r="G112" s="112">
        <f>Table791337[[#This Row],[Sale Price]]-Table791337[[#This Row],[Purchase Price]]</f>
        <v>0</v>
      </c>
    </row>
    <row r="113" spans="4:7" outlineLevel="1">
      <c r="D113" s="112"/>
      <c r="G113" s="112">
        <f>Table791337[[#This Row],[Sale Price]]-Table791337[[#This Row],[Purchase Price]]</f>
        <v>0</v>
      </c>
    </row>
    <row r="114" spans="4:7" outlineLevel="1">
      <c r="D114" s="112"/>
      <c r="G114" s="112">
        <f>Table791337[[#This Row],[Sale Price]]-Table791337[[#This Row],[Purchase Price]]</f>
        <v>0</v>
      </c>
    </row>
    <row r="115" spans="4:7" outlineLevel="1">
      <c r="D115" s="112"/>
      <c r="G115" s="112">
        <f>Table791337[[#This Row],[Sale Price]]-Table791337[[#This Row],[Purchase Price]]</f>
        <v>0</v>
      </c>
    </row>
    <row r="116" spans="4:7" outlineLevel="1">
      <c r="D116" s="112"/>
      <c r="G116" s="112">
        <f>Table791337[[#This Row],[Sale Price]]-Table791337[[#This Row],[Purchase Price]]</f>
        <v>0</v>
      </c>
    </row>
    <row r="117" spans="4:7" outlineLevel="1">
      <c r="D117" s="112"/>
      <c r="G117" s="112">
        <f>Table791337[[#This Row],[Sale Price]]-Table791337[[#This Row],[Purchase Price]]</f>
        <v>0</v>
      </c>
    </row>
    <row r="118" spans="4:7" outlineLevel="1">
      <c r="D118" s="112"/>
      <c r="G118" s="112">
        <f>Table791337[[#This Row],[Sale Price]]-Table791337[[#This Row],[Purchase Price]]</f>
        <v>0</v>
      </c>
    </row>
    <row r="119" spans="4:7" outlineLevel="1">
      <c r="D119" s="112"/>
      <c r="G119" s="112">
        <f>Table791337[[#This Row],[Sale Price]]-Table791337[[#This Row],[Purchase Price]]</f>
        <v>0</v>
      </c>
    </row>
    <row r="120" spans="4:7" outlineLevel="1">
      <c r="D120" s="112"/>
      <c r="G120" s="112">
        <f>Table791337[[#This Row],[Sale Price]]-Table791337[[#This Row],[Purchase Price]]</f>
        <v>0</v>
      </c>
    </row>
    <row r="121" spans="4:7" outlineLevel="1">
      <c r="D121" s="112"/>
      <c r="G121" s="112">
        <f>Table791337[[#This Row],[Sale Price]]-Table791337[[#This Row],[Purchase Price]]</f>
        <v>0</v>
      </c>
    </row>
  </sheetData>
  <mergeCells count="5">
    <mergeCell ref="C15:D15"/>
    <mergeCell ref="C16:D16"/>
    <mergeCell ref="C17:D17"/>
    <mergeCell ref="C14:D14"/>
    <mergeCell ref="B3:H3"/>
  </mergeCells>
  <hyperlinks>
    <hyperlink ref="B1" location="'All Companies'!A1" display="All Companies" xr:uid="{0F50F90E-333F-49CE-8F0E-D26D9CC6BC5D}"/>
    <hyperlink ref="C24" r:id="rId1" xr:uid="{758ACD06-490E-449B-BE91-17E3B453F3F3}"/>
    <hyperlink ref="G30" r:id="rId2" xr:uid="{61A72304-00AA-4049-A054-CD68C9DCAFC1}"/>
    <hyperlink ref="G44" r:id="rId3" xr:uid="{90250F69-B09E-4280-82B9-04F9C199EE75}"/>
    <hyperlink ref="G45" r:id="rId4" xr:uid="{33F3FA01-D688-4EA2-9DF4-EC78C93C90D8}"/>
  </hyperlinks>
  <pageMargins left="0.7" right="0.7" top="0.75" bottom="0.75" header="0.3" footer="0.3"/>
  <tableParts count="4"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8166A5B-45F8-42D8-8BFC-7B152E1CCB06}">
          <x14:formula1>
            <xm:f>'Document Type'!$B$45:$B$47</xm:f>
          </x14:formula1>
          <xm:sqref>C8 G8</xm:sqref>
        </x14:dataValidation>
        <x14:dataValidation type="list" allowBlank="1" showInputMessage="1" showErrorMessage="1" xr:uid="{D252B8F5-B9C6-45DA-8B10-AA983EC68A0A}">
          <x14:formula1>
            <xm:f>'Document Type'!$B$49:$B$51</xm:f>
          </x14:formula1>
          <xm:sqref>C10:C11</xm:sqref>
        </x14:dataValidation>
        <x14:dataValidation type="list" allowBlank="1" showInputMessage="1" showErrorMessage="1" xr:uid="{350590BF-6EA7-40A1-8961-F6ADCAEABB28}">
          <x14:formula1>
            <xm:f>'Document Type'!$B$38:$B$39</xm:f>
          </x14:formula1>
          <xm:sqref>C13 G13</xm:sqref>
        </x14:dataValidation>
        <x14:dataValidation type="list" allowBlank="1" showInputMessage="1" showErrorMessage="1" xr:uid="{A2A9FB40-81D7-4BED-B86D-4376B7552C8A}">
          <x14:formula1>
            <xm:f>'Document Type'!$B$6:$B$34</xm:f>
          </x14:formula1>
          <xm:sqref>C27:C61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3B640-62A8-43CF-B93C-12FB62F0F6D6}">
  <dimension ref="B1:R136"/>
  <sheetViews>
    <sheetView topLeftCell="A32" workbookViewId="0">
      <selection activeCell="B63" sqref="B63"/>
    </sheetView>
  </sheetViews>
  <sheetFormatPr defaultColWidth="8.69140625" defaultRowHeight="14.6" outlineLevelRow="1"/>
  <cols>
    <col min="1" max="1" width="3.3046875" customWidth="1"/>
    <col min="2" max="2" width="38.3046875" bestFit="1" customWidth="1"/>
    <col min="3" max="3" width="42.69140625" bestFit="1" customWidth="1"/>
    <col min="4" max="4" width="29.15234375" customWidth="1"/>
    <col min="5" max="5" width="18.3046875" bestFit="1" customWidth="1"/>
    <col min="6" max="6" width="28.15234375" bestFit="1" customWidth="1"/>
    <col min="7" max="7" width="46.69140625" bestFit="1" customWidth="1"/>
    <col min="8" max="8" width="36.4609375" bestFit="1" customWidth="1"/>
    <col min="9" max="9" width="40.3046875" bestFit="1" customWidth="1"/>
    <col min="10" max="10" width="20.4609375" customWidth="1"/>
    <col min="11" max="11" width="76.3046875" bestFit="1" customWidth="1"/>
    <col min="12" max="12" width="25.3046875" bestFit="1" customWidth="1"/>
    <col min="13" max="13" width="27.3046875" bestFit="1" customWidth="1"/>
    <col min="14" max="14" width="31.69140625" bestFit="1" customWidth="1"/>
    <col min="15" max="15" width="30.15234375" bestFit="1" customWidth="1"/>
    <col min="16" max="16" width="45.3046875" bestFit="1" customWidth="1"/>
    <col min="17" max="17" width="23.3046875" bestFit="1" customWidth="1"/>
  </cols>
  <sheetData>
    <row r="1" spans="2:10">
      <c r="B1" s="69" t="s">
        <v>195</v>
      </c>
    </row>
    <row r="2" spans="2:10" ht="15" thickBot="1"/>
    <row r="3" spans="2:10" ht="26.8" customHeight="1" thickBot="1">
      <c r="B3" s="373" t="s">
        <v>505</v>
      </c>
      <c r="C3" s="374"/>
      <c r="D3" s="374"/>
      <c r="E3" s="374"/>
      <c r="F3" s="374"/>
      <c r="G3" s="374"/>
      <c r="H3" s="375"/>
      <c r="J3" s="334" t="s">
        <v>333</v>
      </c>
    </row>
    <row r="4" spans="2:10" ht="17.8" customHeight="1">
      <c r="B4" s="245" t="s">
        <v>201</v>
      </c>
      <c r="C4" s="278" t="s">
        <v>646</v>
      </c>
      <c r="D4" s="273" t="s">
        <v>202</v>
      </c>
      <c r="E4" s="278" t="s">
        <v>647</v>
      </c>
      <c r="F4" s="93"/>
      <c r="G4" s="273" t="s">
        <v>203</v>
      </c>
      <c r="H4" s="278" t="s">
        <v>648</v>
      </c>
      <c r="J4" t="s">
        <v>334</v>
      </c>
    </row>
    <row r="5" spans="2:10">
      <c r="B5" s="250" t="s">
        <v>206</v>
      </c>
      <c r="C5" s="254">
        <v>44712</v>
      </c>
      <c r="D5" s="254"/>
      <c r="E5" s="256"/>
      <c r="F5" s="274" t="s">
        <v>207</v>
      </c>
      <c r="G5" s="378">
        <v>200</v>
      </c>
      <c r="H5" s="379"/>
    </row>
    <row r="6" spans="2:10">
      <c r="B6" s="251" t="s">
        <v>210</v>
      </c>
      <c r="C6" s="376"/>
      <c r="D6" s="376"/>
      <c r="E6" s="232"/>
      <c r="F6" s="275" t="s">
        <v>211</v>
      </c>
      <c r="G6" s="232"/>
      <c r="H6" s="276"/>
    </row>
    <row r="7" spans="2:10">
      <c r="B7" s="250" t="s">
        <v>503</v>
      </c>
      <c r="C7" s="256"/>
      <c r="D7" s="256"/>
      <c r="E7" s="254"/>
      <c r="F7" s="256"/>
      <c r="G7" s="256"/>
      <c r="H7" s="257"/>
    </row>
    <row r="8" spans="2:10">
      <c r="B8" s="249" t="s">
        <v>218</v>
      </c>
      <c r="C8" s="232" t="s">
        <v>221</v>
      </c>
      <c r="D8" s="232"/>
      <c r="E8" s="252"/>
      <c r="F8" s="275" t="s">
        <v>220</v>
      </c>
      <c r="G8" s="232" t="s">
        <v>221</v>
      </c>
      <c r="H8" s="276"/>
    </row>
    <row r="9" spans="2:10">
      <c r="B9" s="259"/>
      <c r="C9" s="256"/>
      <c r="D9" s="256" t="s">
        <v>224</v>
      </c>
      <c r="E9" s="254"/>
      <c r="F9" s="256"/>
      <c r="G9" s="256"/>
      <c r="H9" s="257"/>
    </row>
    <row r="10" spans="2:10">
      <c r="B10" s="249" t="s">
        <v>227</v>
      </c>
      <c r="C10" s="277" t="s">
        <v>504</v>
      </c>
      <c r="D10" s="252">
        <v>45225</v>
      </c>
      <c r="E10" s="232"/>
      <c r="F10" s="232"/>
      <c r="G10" s="232"/>
      <c r="H10" s="276"/>
    </row>
    <row r="11" spans="2:10">
      <c r="B11" s="250" t="s">
        <v>231</v>
      </c>
      <c r="C11" s="288" t="s">
        <v>504</v>
      </c>
      <c r="D11" s="254">
        <v>45225</v>
      </c>
      <c r="E11" s="256"/>
      <c r="F11" s="256"/>
      <c r="G11" s="378"/>
      <c r="H11" s="379"/>
    </row>
    <row r="12" spans="2:10">
      <c r="B12" s="240"/>
      <c r="C12" s="232"/>
      <c r="D12" s="232"/>
      <c r="E12" s="252"/>
      <c r="F12" s="232"/>
      <c r="G12" s="232"/>
      <c r="H12" s="276"/>
    </row>
    <row r="13" spans="2:10">
      <c r="B13" s="250" t="s">
        <v>236</v>
      </c>
      <c r="C13" s="237" t="s">
        <v>237</v>
      </c>
      <c r="D13" s="256"/>
      <c r="E13" s="256"/>
      <c r="F13" s="274" t="s">
        <v>238</v>
      </c>
      <c r="G13" s="237" t="s">
        <v>237</v>
      </c>
      <c r="H13" s="257"/>
    </row>
    <row r="14" spans="2:10">
      <c r="B14" s="242"/>
      <c r="C14" s="376"/>
      <c r="D14" s="376"/>
      <c r="E14" s="232"/>
      <c r="F14" s="232"/>
      <c r="G14" s="232"/>
      <c r="H14" s="276"/>
    </row>
    <row r="15" spans="2:10">
      <c r="B15" s="250"/>
      <c r="C15" s="380"/>
      <c r="D15" s="381"/>
      <c r="E15" s="274" t="s">
        <v>240</v>
      </c>
      <c r="F15" s="274" t="s">
        <v>241</v>
      </c>
      <c r="G15" s="380"/>
      <c r="H15" s="384"/>
    </row>
    <row r="16" spans="2:10">
      <c r="B16" s="251" t="s">
        <v>243</v>
      </c>
      <c r="C16" s="382" t="s">
        <v>649</v>
      </c>
      <c r="D16" s="383"/>
      <c r="E16" s="232">
        <v>35</v>
      </c>
      <c r="F16" s="232" t="s">
        <v>212</v>
      </c>
      <c r="G16" s="232"/>
      <c r="H16" s="276"/>
    </row>
    <row r="17" spans="2:10">
      <c r="B17" s="250"/>
      <c r="C17" s="380" t="s">
        <v>316</v>
      </c>
      <c r="D17" s="381"/>
      <c r="E17" s="256">
        <v>30</v>
      </c>
      <c r="F17" s="256" t="s">
        <v>212</v>
      </c>
      <c r="G17" s="380"/>
      <c r="H17" s="384"/>
    </row>
    <row r="18" spans="2:10">
      <c r="B18" s="242"/>
      <c r="C18" s="382" t="s">
        <v>650</v>
      </c>
      <c r="D18" s="383"/>
      <c r="E18" s="232">
        <v>115</v>
      </c>
      <c r="F18" s="232" t="s">
        <v>212</v>
      </c>
      <c r="G18" s="232"/>
      <c r="H18" s="276"/>
    </row>
    <row r="19" spans="2:10">
      <c r="B19" s="250"/>
      <c r="C19" s="380" t="s">
        <v>651</v>
      </c>
      <c r="D19" s="381"/>
      <c r="E19" s="256">
        <v>10</v>
      </c>
      <c r="F19" s="256" t="s">
        <v>237</v>
      </c>
      <c r="G19" s="380"/>
      <c r="H19" s="384"/>
    </row>
    <row r="20" spans="2:10">
      <c r="B20" s="242"/>
      <c r="C20" s="382" t="s">
        <v>652</v>
      </c>
      <c r="D20" s="383"/>
      <c r="E20" s="232">
        <v>10</v>
      </c>
      <c r="F20" s="232" t="s">
        <v>212</v>
      </c>
      <c r="G20" s="232"/>
      <c r="H20" s="276"/>
    </row>
    <row r="21" spans="2:10">
      <c r="B21" s="250"/>
      <c r="C21" s="380"/>
      <c r="D21" s="381"/>
      <c r="E21" s="256"/>
      <c r="F21" s="256"/>
      <c r="G21" s="256"/>
      <c r="H21" s="257"/>
    </row>
    <row r="22" spans="2:10">
      <c r="B22" s="249" t="s">
        <v>247</v>
      </c>
      <c r="C22" s="275" t="s">
        <v>248</v>
      </c>
      <c r="D22" s="275" t="s">
        <v>82</v>
      </c>
      <c r="E22" s="275" t="s">
        <v>83</v>
      </c>
      <c r="F22" s="275" t="s">
        <v>249</v>
      </c>
      <c r="G22" s="275" t="s">
        <v>653</v>
      </c>
      <c r="H22" s="276"/>
    </row>
    <row r="23" spans="2:10">
      <c r="B23" s="259"/>
      <c r="C23" s="256" t="s">
        <v>251</v>
      </c>
      <c r="D23" s="256" t="s">
        <v>252</v>
      </c>
      <c r="E23" s="256">
        <v>199211357</v>
      </c>
      <c r="F23" s="140">
        <v>44643</v>
      </c>
      <c r="G23" s="256"/>
      <c r="H23" s="257"/>
    </row>
    <row r="24" spans="2:10">
      <c r="B24" s="240"/>
      <c r="C24" s="232" t="s">
        <v>317</v>
      </c>
      <c r="D24" s="232" t="s">
        <v>341</v>
      </c>
      <c r="E24" s="232">
        <v>699618</v>
      </c>
      <c r="F24" s="252">
        <v>45282</v>
      </c>
      <c r="G24" s="232"/>
      <c r="H24" s="276"/>
    </row>
    <row r="25" spans="2:10">
      <c r="B25" s="259"/>
      <c r="C25" s="256"/>
      <c r="D25" s="256"/>
      <c r="E25" s="254"/>
      <c r="F25" s="256"/>
      <c r="G25" s="256"/>
      <c r="H25" s="257"/>
    </row>
    <row r="26" spans="2:10">
      <c r="B26" s="240"/>
      <c r="C26" s="232"/>
      <c r="D26" s="232"/>
      <c r="E26" s="252"/>
      <c r="F26" s="232"/>
      <c r="G26" s="232"/>
      <c r="H26" s="276"/>
    </row>
    <row r="27" spans="2:10">
      <c r="B27" s="259"/>
      <c r="C27" s="256"/>
      <c r="D27" s="256"/>
      <c r="E27" s="254"/>
      <c r="F27" s="256"/>
      <c r="G27" s="256"/>
      <c r="H27" s="257"/>
    </row>
    <row r="29" spans="2:10">
      <c r="B29" t="s">
        <v>259</v>
      </c>
      <c r="C29" s="69" t="s">
        <v>440</v>
      </c>
      <c r="D29" t="s">
        <v>260</v>
      </c>
      <c r="E29" t="s">
        <v>440</v>
      </c>
    </row>
    <row r="31" spans="2:10" ht="15.9">
      <c r="B31" s="170" t="s">
        <v>262</v>
      </c>
      <c r="C31" s="170" t="s">
        <v>263</v>
      </c>
      <c r="D31" s="170" t="s">
        <v>264</v>
      </c>
      <c r="E31" s="170" t="s">
        <v>265</v>
      </c>
      <c r="F31" s="170" t="s">
        <v>266</v>
      </c>
      <c r="G31" s="170" t="s">
        <v>267</v>
      </c>
      <c r="H31" s="170" t="s">
        <v>268</v>
      </c>
      <c r="J31" s="170"/>
    </row>
    <row r="32" spans="2:10" outlineLevel="1">
      <c r="B32" t="s">
        <v>533</v>
      </c>
      <c r="C32" t="s">
        <v>216</v>
      </c>
      <c r="D32" t="str">
        <f>VLOOKUP(C32,'Document Type'!$B$6:$C$34,2,FALSE)</f>
        <v>Register of Members</v>
      </c>
      <c r="E32" s="218">
        <v>44712</v>
      </c>
      <c r="G32" t="s">
        <v>659</v>
      </c>
    </row>
    <row r="33" spans="2:8" outlineLevel="1">
      <c r="B33" t="s">
        <v>533</v>
      </c>
      <c r="C33" t="s">
        <v>216</v>
      </c>
      <c r="D33" t="str">
        <f>VLOOKUP(C33,'Document Type'!$B$6:$C$34,2,FALSE)</f>
        <v>Register of Members</v>
      </c>
      <c r="E33" s="218">
        <v>44712</v>
      </c>
      <c r="G33" t="s">
        <v>660</v>
      </c>
    </row>
    <row r="34" spans="2:8" outlineLevel="1">
      <c r="B34" t="s">
        <v>533</v>
      </c>
      <c r="C34" t="s">
        <v>216</v>
      </c>
      <c r="D34" t="str">
        <f>VLOOKUP(C34,'Document Type'!$B$6:$C$34,2,FALSE)</f>
        <v>Register of Members</v>
      </c>
      <c r="E34" s="218">
        <v>44712</v>
      </c>
      <c r="G34" t="s">
        <v>661</v>
      </c>
    </row>
    <row r="35" spans="2:8" outlineLevel="1">
      <c r="B35" t="s">
        <v>1284</v>
      </c>
      <c r="C35" t="s">
        <v>1280</v>
      </c>
      <c r="D35" t="str">
        <f>VLOOKUP(C35,'Document Type'!$B$6:$C$34,2,FALSE)</f>
        <v>BAS</v>
      </c>
      <c r="E35" s="218">
        <v>45531</v>
      </c>
      <c r="G35" t="s">
        <v>1283</v>
      </c>
    </row>
    <row r="36" spans="2:8" outlineLevel="1">
      <c r="B36" t="s">
        <v>1282</v>
      </c>
      <c r="C36" t="s">
        <v>1280</v>
      </c>
      <c r="D36" t="str">
        <f>VLOOKUP(C36,'Document Type'!$B$6:$C$34,2,FALSE)</f>
        <v>BAS</v>
      </c>
      <c r="E36" s="218">
        <v>45531</v>
      </c>
      <c r="G36" t="s">
        <v>1283</v>
      </c>
    </row>
    <row r="37" spans="2:8" outlineLevel="1">
      <c r="B37" t="s">
        <v>413</v>
      </c>
      <c r="C37" t="s">
        <v>204</v>
      </c>
      <c r="D37" t="str">
        <f>VLOOKUP(C37,'Document Type'!$B$6:$C$34,2,FALSE)</f>
        <v>Company Setup</v>
      </c>
      <c r="E37" s="218">
        <v>44712</v>
      </c>
      <c r="G37" t="s">
        <v>658</v>
      </c>
    </row>
    <row r="38" spans="2:8" outlineLevel="1">
      <c r="B38" t="s">
        <v>286</v>
      </c>
      <c r="C38" t="s">
        <v>287</v>
      </c>
      <c r="D38" t="str">
        <f>VLOOKUP(C38,'Document Type'!$B$6:$C$34,2,FALSE)</f>
        <v>General</v>
      </c>
      <c r="E38" s="218">
        <v>44698</v>
      </c>
      <c r="G38" t="s">
        <v>655</v>
      </c>
    </row>
    <row r="39" spans="2:8" outlineLevel="1">
      <c r="B39" t="s">
        <v>656</v>
      </c>
      <c r="C39" t="s">
        <v>287</v>
      </c>
      <c r="D39" t="str">
        <f>VLOOKUP(C39,'Document Type'!$B$6:$C$34,2,FALSE)</f>
        <v>General</v>
      </c>
      <c r="E39" s="218">
        <v>44698</v>
      </c>
      <c r="G39" t="s">
        <v>657</v>
      </c>
    </row>
    <row r="40" spans="2:8" outlineLevel="1">
      <c r="B40" t="s">
        <v>233</v>
      </c>
      <c r="C40" t="s">
        <v>225</v>
      </c>
      <c r="D40" t="str">
        <f>VLOOKUP(C40,'Document Type'!$B$6:$C$34,2,FALSE)</f>
        <v>General</v>
      </c>
      <c r="E40" s="218">
        <v>45473</v>
      </c>
      <c r="G40" t="s">
        <v>1241</v>
      </c>
    </row>
    <row r="41" spans="2:8" outlineLevel="1">
      <c r="B41" t="s">
        <v>1242</v>
      </c>
      <c r="C41" t="s">
        <v>257</v>
      </c>
      <c r="D41" t="str">
        <f>VLOOKUP(C41,'Document Type'!$B$6:$C$34,2,FALSE)</f>
        <v>General</v>
      </c>
      <c r="E41" s="218">
        <v>45473</v>
      </c>
      <c r="G41" t="s">
        <v>1242</v>
      </c>
    </row>
    <row r="42" spans="2:8" outlineLevel="1">
      <c r="B42" t="s">
        <v>664</v>
      </c>
      <c r="C42" t="s">
        <v>213</v>
      </c>
      <c r="D42" t="s">
        <v>213</v>
      </c>
      <c r="E42" s="218">
        <v>44712</v>
      </c>
      <c r="G42" t="s">
        <v>663</v>
      </c>
    </row>
    <row r="43" spans="2:8" outlineLevel="1">
      <c r="B43" t="s">
        <v>662</v>
      </c>
      <c r="C43" t="s">
        <v>213</v>
      </c>
      <c r="D43" t="str">
        <f>VLOOKUP(C43,'Document Type'!$B$6:$C$34,2,FALSE)</f>
        <v>Constitution</v>
      </c>
      <c r="E43" s="218">
        <v>44712</v>
      </c>
      <c r="G43" s="69" t="s">
        <v>663</v>
      </c>
    </row>
    <row r="44" spans="2:8" outlineLevel="1">
      <c r="B44" t="s">
        <v>667</v>
      </c>
      <c r="C44" t="s">
        <v>2</v>
      </c>
      <c r="D44" t="str">
        <f>VLOOKUP(C44,'Document Type'!$B$6:$C$34,2,FALSE)</f>
        <v>General</v>
      </c>
      <c r="E44" s="218">
        <v>45100</v>
      </c>
      <c r="G44" t="s">
        <v>668</v>
      </c>
    </row>
    <row r="45" spans="2:8" outlineLevel="1">
      <c r="B45" t="s">
        <v>416</v>
      </c>
      <c r="C45" t="s">
        <v>253</v>
      </c>
      <c r="D45" t="str">
        <f>VLOOKUP(C45,'Document Type'!$B$6:$C$34,2,FALSE)</f>
        <v>General</v>
      </c>
      <c r="E45" s="218">
        <v>44742</v>
      </c>
      <c r="G45" t="s">
        <v>665</v>
      </c>
    </row>
    <row r="46" spans="2:8" outlineLevel="1">
      <c r="B46" t="s">
        <v>323</v>
      </c>
      <c r="C46" t="s">
        <v>253</v>
      </c>
      <c r="D46" t="str">
        <f>VLOOKUP(C46,'Document Type'!$B$6:$C$34,2,FALSE)</f>
        <v>General</v>
      </c>
      <c r="E46" s="218">
        <v>45107</v>
      </c>
      <c r="G46" t="s">
        <v>669</v>
      </c>
    </row>
    <row r="47" spans="2:8" outlineLevel="1">
      <c r="B47" s="14" t="s">
        <v>270</v>
      </c>
      <c r="C47" t="s">
        <v>253</v>
      </c>
      <c r="D47" t="str">
        <f>VLOOKUP(C47,'Document Type'!$B$6:$C$34,2,FALSE)</f>
        <v>General</v>
      </c>
      <c r="E47" s="218">
        <v>45471</v>
      </c>
      <c r="G47" t="s">
        <v>674</v>
      </c>
      <c r="H47" t="s">
        <v>148</v>
      </c>
    </row>
    <row r="48" spans="2:8" outlineLevel="1">
      <c r="B48" t="s">
        <v>272</v>
      </c>
      <c r="C48" t="s">
        <v>234</v>
      </c>
      <c r="D48" t="str">
        <f>VLOOKUP(C48,'Document Type'!$B$6:$C$34,2,FALSE)</f>
        <v>General</v>
      </c>
      <c r="E48" s="218">
        <v>45471</v>
      </c>
      <c r="G48" t="s">
        <v>675</v>
      </c>
      <c r="H48" t="s">
        <v>148</v>
      </c>
    </row>
    <row r="49" spans="2:8" outlineLevel="1">
      <c r="B49" t="s">
        <v>1324</v>
      </c>
      <c r="C49" t="s">
        <v>245</v>
      </c>
      <c r="D49" t="str">
        <f>VLOOKUP(C49,'Document Type'!$B$6:$C$34,2,FALSE)</f>
        <v>General</v>
      </c>
      <c r="E49" s="218">
        <v>45562</v>
      </c>
      <c r="G49" t="s">
        <v>1323</v>
      </c>
      <c r="H49" t="s">
        <v>439</v>
      </c>
    </row>
    <row r="50" spans="2:8" outlineLevel="1">
      <c r="B50" t="s">
        <v>1325</v>
      </c>
      <c r="C50" t="s">
        <v>245</v>
      </c>
      <c r="D50" t="str">
        <f>VLOOKUP(C50,'Document Type'!$B$6:$C$34,2,FALSE)</f>
        <v>General</v>
      </c>
      <c r="E50" s="218">
        <v>45562</v>
      </c>
      <c r="G50" t="s">
        <v>1323</v>
      </c>
      <c r="H50" t="s">
        <v>439</v>
      </c>
    </row>
    <row r="51" spans="2:8" outlineLevel="1">
      <c r="B51" t="s">
        <v>1326</v>
      </c>
      <c r="C51" t="s">
        <v>245</v>
      </c>
      <c r="D51" t="str">
        <f>VLOOKUP(C51,'Document Type'!$B$6:$C$34,2,FALSE)</f>
        <v>General</v>
      </c>
      <c r="E51" s="218">
        <v>45562</v>
      </c>
      <c r="G51" t="s">
        <v>1323</v>
      </c>
      <c r="H51" t="s">
        <v>439</v>
      </c>
    </row>
    <row r="52" spans="2:8" outlineLevel="1">
      <c r="B52" t="s">
        <v>1328</v>
      </c>
      <c r="C52" t="s">
        <v>245</v>
      </c>
      <c r="D52" t="str">
        <f>VLOOKUP(C52,'Document Type'!$B$6:$C$34,2,FALSE)</f>
        <v>General</v>
      </c>
      <c r="E52" s="218">
        <v>45562</v>
      </c>
      <c r="G52" t="s">
        <v>1327</v>
      </c>
      <c r="H52" t="s">
        <v>439</v>
      </c>
    </row>
    <row r="53" spans="2:8" outlineLevel="1">
      <c r="B53" t="s">
        <v>670</v>
      </c>
      <c r="C53" t="s">
        <v>216</v>
      </c>
      <c r="D53" t="str">
        <f>VLOOKUP(C53,'Document Type'!$B$6:$C$34,2,FALSE)</f>
        <v>Register of Members</v>
      </c>
      <c r="E53" s="218">
        <v>45273</v>
      </c>
      <c r="G53" t="s">
        <v>671</v>
      </c>
    </row>
    <row r="54" spans="2:8" outlineLevel="1">
      <c r="B54" t="s">
        <v>676</v>
      </c>
      <c r="C54" t="s">
        <v>196</v>
      </c>
      <c r="D54" t="str">
        <f>VLOOKUP(C54,'Document Type'!$B$6:$C$34,2,FALSE)</f>
        <v>Loans and Security</v>
      </c>
      <c r="E54" s="218">
        <v>45219</v>
      </c>
      <c r="G54" t="s">
        <v>677</v>
      </c>
      <c r="H54" t="s">
        <v>148</v>
      </c>
    </row>
    <row r="55" spans="2:8" outlineLevel="1">
      <c r="B55" t="s">
        <v>678</v>
      </c>
      <c r="C55" t="s">
        <v>196</v>
      </c>
      <c r="D55" t="str">
        <f>VLOOKUP(C55,'Document Type'!$B$6:$C$34,2,FALSE)</f>
        <v>Loans and Security</v>
      </c>
      <c r="E55" s="218">
        <v>45219</v>
      </c>
      <c r="G55" t="s">
        <v>679</v>
      </c>
      <c r="H55" t="s">
        <v>148</v>
      </c>
    </row>
    <row r="56" spans="2:8" outlineLevel="1">
      <c r="B56" t="s">
        <v>680</v>
      </c>
      <c r="C56" t="s">
        <v>229</v>
      </c>
      <c r="D56" t="str">
        <f>VLOOKUP(C56,'Document Type'!$B$6:$C$34,2,FALSE)</f>
        <v>Assets</v>
      </c>
      <c r="E56" s="218">
        <v>45261</v>
      </c>
      <c r="G56" t="s">
        <v>681</v>
      </c>
      <c r="H56" t="s">
        <v>148</v>
      </c>
    </row>
    <row r="57" spans="2:8" outlineLevel="1">
      <c r="B57" t="s">
        <v>239</v>
      </c>
      <c r="C57" t="s">
        <v>287</v>
      </c>
      <c r="D57" t="str">
        <f>VLOOKUP(C57,'Document Type'!$B$6:$C$34,2,FALSE)</f>
        <v>General</v>
      </c>
      <c r="E57" s="218">
        <v>44698</v>
      </c>
      <c r="G57" t="s">
        <v>654</v>
      </c>
    </row>
    <row r="58" spans="2:8" outlineLevel="1">
      <c r="B58" t="s">
        <v>525</v>
      </c>
      <c r="C58" t="s">
        <v>246</v>
      </c>
      <c r="D58" t="str">
        <f>VLOOKUP(C58,'Document Type'!$B$6:$C$34,2,FALSE)</f>
        <v>Minutes</v>
      </c>
      <c r="E58" s="218">
        <v>45016</v>
      </c>
      <c r="G58" t="s">
        <v>666</v>
      </c>
    </row>
    <row r="59" spans="2:8" outlineLevel="1">
      <c r="B59" t="s">
        <v>1416</v>
      </c>
      <c r="C59" t="s">
        <v>225</v>
      </c>
      <c r="D59" t="s">
        <v>321</v>
      </c>
      <c r="E59" s="218">
        <v>45937</v>
      </c>
      <c r="G59" s="69" t="s">
        <v>1416</v>
      </c>
    </row>
    <row r="60" spans="2:8" outlineLevel="1">
      <c r="B60" t="s">
        <v>1417</v>
      </c>
      <c r="C60" t="s">
        <v>225</v>
      </c>
      <c r="D60" t="s">
        <v>321</v>
      </c>
      <c r="E60" s="218">
        <v>45937</v>
      </c>
      <c r="G60" s="69" t="s">
        <v>1417</v>
      </c>
    </row>
    <row r="61" spans="2:8" outlineLevel="1">
      <c r="B61" t="s">
        <v>1418</v>
      </c>
      <c r="C61" t="s">
        <v>225</v>
      </c>
      <c r="D61" t="str">
        <f>VLOOKUP(C61,'Document Type'!$B$6:$C$34,2,FALSE)</f>
        <v>General</v>
      </c>
      <c r="E61" s="218">
        <v>45937</v>
      </c>
      <c r="G61" s="69" t="s">
        <v>1418</v>
      </c>
    </row>
    <row r="62" spans="2:8" outlineLevel="1">
      <c r="B62" t="s">
        <v>672</v>
      </c>
      <c r="C62" t="s">
        <v>216</v>
      </c>
      <c r="D62" t="str">
        <f>VLOOKUP(C62,'Document Type'!$B$6:$C$34,2,FALSE)</f>
        <v>Register of Members</v>
      </c>
      <c r="E62" s="218">
        <v>45427</v>
      </c>
      <c r="G62" t="s">
        <v>673</v>
      </c>
    </row>
    <row r="63" spans="2:8" outlineLevel="1">
      <c r="D63" t="e">
        <f>VLOOKUP(C63,'Document Type'!$B$6:$C$34,2,FALSE)</f>
        <v>#N/A</v>
      </c>
    </row>
    <row r="64" spans="2:8" outlineLevel="1">
      <c r="D64" t="e">
        <f>VLOOKUP(C64,'Document Type'!$B$6:$C$34,2,FALSE)</f>
        <v>#N/A</v>
      </c>
    </row>
    <row r="65" spans="2:18" outlineLevel="1">
      <c r="D65" t="e">
        <f>VLOOKUP(C65,'Document Type'!$B$6:$C$34,2,FALSE)</f>
        <v>#N/A</v>
      </c>
    </row>
    <row r="66" spans="2:18" outlineLevel="1">
      <c r="D66" t="e">
        <f>VLOOKUP(C66,'Document Type'!$B$6:$C$34,2,FALSE)</f>
        <v>#N/A</v>
      </c>
    </row>
    <row r="67" spans="2:18" outlineLevel="1">
      <c r="D67" t="e">
        <f>VLOOKUP(C67,'Document Type'!$B$6:$C$34,2,FALSE)</f>
        <v>#N/A</v>
      </c>
    </row>
    <row r="68" spans="2:18" outlineLevel="1">
      <c r="D68" t="e">
        <f>VLOOKUP(C68,'Document Type'!$B$6:$C$34,2,FALSE)</f>
        <v>#N/A</v>
      </c>
    </row>
    <row r="69" spans="2:18" outlineLevel="1">
      <c r="D69" t="e">
        <f>VLOOKUP(C69,'Document Type'!$B$6:$C$34,2,FALSE)</f>
        <v>#N/A</v>
      </c>
    </row>
    <row r="70" spans="2:18" outlineLevel="1">
      <c r="D70" t="e">
        <f>VLOOKUP(C70,'Document Type'!$B$6:$C$34,2,FALSE)</f>
        <v>#N/A</v>
      </c>
    </row>
    <row r="71" spans="2:18" outlineLevel="1">
      <c r="D71" t="e">
        <f>VLOOKUP(C71,'Document Type'!$B$6:$C$34,2,FALSE)</f>
        <v>#N/A</v>
      </c>
    </row>
    <row r="72" spans="2:18" outlineLevel="1">
      <c r="D72" t="e">
        <f>VLOOKUP(C72,'Document Type'!$B$6:$C$34,2,FALSE)</f>
        <v>#N/A</v>
      </c>
    </row>
    <row r="73" spans="2:18" outlineLevel="1">
      <c r="D73" t="e">
        <f>VLOOKUP(C73,'Document Type'!$B$6:$C$34,2,FALSE)</f>
        <v>#N/A</v>
      </c>
    </row>
    <row r="74" spans="2:18" outlineLevel="1">
      <c r="E74" s="218"/>
    </row>
    <row r="75" spans="2:18" outlineLevel="1">
      <c r="E75" s="218"/>
    </row>
    <row r="76" spans="2:18">
      <c r="E76" s="218"/>
    </row>
    <row r="77" spans="2:18">
      <c r="E77" s="218"/>
    </row>
    <row r="79" spans="2:18" ht="15.9">
      <c r="B79" s="170" t="s">
        <v>289</v>
      </c>
      <c r="E79" s="218"/>
    </row>
    <row r="80" spans="2:18">
      <c r="B80" s="350" t="s">
        <v>265</v>
      </c>
      <c r="C80" s="350" t="s">
        <v>290</v>
      </c>
      <c r="D80" s="350" t="s">
        <v>291</v>
      </c>
      <c r="E80" s="351" t="s">
        <v>292</v>
      </c>
      <c r="F80" s="350" t="s">
        <v>293</v>
      </c>
      <c r="G80" s="350" t="s">
        <v>294</v>
      </c>
      <c r="H80" s="352" t="s">
        <v>295</v>
      </c>
      <c r="I80" s="353" t="s">
        <v>296</v>
      </c>
      <c r="J80" s="354" t="s">
        <v>297</v>
      </c>
      <c r="K80" s="199" t="s">
        <v>298</v>
      </c>
      <c r="L80" s="199" t="s">
        <v>299</v>
      </c>
      <c r="M80" s="199" t="s">
        <v>300</v>
      </c>
      <c r="N80" s="354" t="s">
        <v>301</v>
      </c>
      <c r="O80" s="199" t="s">
        <v>302</v>
      </c>
      <c r="P80" s="199" t="s">
        <v>303</v>
      </c>
      <c r="Q80" s="199" t="s">
        <v>304</v>
      </c>
      <c r="R80" s="199"/>
    </row>
    <row r="81" spans="2:17" hidden="1" outlineLevel="1">
      <c r="B81" s="140">
        <v>44712</v>
      </c>
      <c r="C81" s="93" t="s">
        <v>437</v>
      </c>
      <c r="D81" s="93" t="s">
        <v>402</v>
      </c>
      <c r="E81" s="93"/>
      <c r="F81" s="93"/>
      <c r="G81" s="93"/>
      <c r="H81" s="93">
        <v>55</v>
      </c>
      <c r="I81" s="93"/>
      <c r="J81" s="209">
        <v>1</v>
      </c>
      <c r="K81" s="93"/>
      <c r="L81" s="93" t="s">
        <v>403</v>
      </c>
      <c r="M81" s="93">
        <v>55</v>
      </c>
      <c r="N81" s="209">
        <v>55</v>
      </c>
      <c r="O81" s="93" t="s">
        <v>438</v>
      </c>
      <c r="P81" s="93" t="s">
        <v>682</v>
      </c>
      <c r="Q81" s="93"/>
    </row>
    <row r="82" spans="2:17" hidden="1" outlineLevel="1">
      <c r="B82" s="140">
        <v>44712</v>
      </c>
      <c r="C82" s="93" t="s">
        <v>437</v>
      </c>
      <c r="D82" s="93" t="s">
        <v>402</v>
      </c>
      <c r="E82" s="93"/>
      <c r="F82" s="93"/>
      <c r="G82" s="93"/>
      <c r="H82" s="93">
        <v>35</v>
      </c>
      <c r="I82" s="93"/>
      <c r="J82" s="209">
        <v>1</v>
      </c>
      <c r="K82" s="93"/>
      <c r="L82" s="93" t="s">
        <v>497</v>
      </c>
      <c r="M82" s="93">
        <v>35</v>
      </c>
      <c r="N82" s="209">
        <v>35</v>
      </c>
      <c r="O82" s="93" t="s">
        <v>438</v>
      </c>
      <c r="P82" s="93" t="s">
        <v>601</v>
      </c>
      <c r="Q82" s="93"/>
    </row>
    <row r="83" spans="2:17" hidden="1" outlineLevel="1">
      <c r="B83" s="140">
        <v>44712</v>
      </c>
      <c r="C83" s="93" t="s">
        <v>437</v>
      </c>
      <c r="D83" s="93" t="s">
        <v>402</v>
      </c>
      <c r="E83" s="93"/>
      <c r="F83" s="93"/>
      <c r="G83" s="93"/>
      <c r="H83" s="93">
        <v>10</v>
      </c>
      <c r="I83" s="93"/>
      <c r="J83" s="209">
        <v>1</v>
      </c>
      <c r="K83" s="93"/>
      <c r="L83" s="93" t="s">
        <v>497</v>
      </c>
      <c r="M83" s="93">
        <v>10</v>
      </c>
      <c r="N83" s="209">
        <v>10</v>
      </c>
      <c r="O83" s="93" t="s">
        <v>403</v>
      </c>
      <c r="P83" s="93" t="s">
        <v>606</v>
      </c>
      <c r="Q83" s="93"/>
    </row>
    <row r="84" spans="2:17" hidden="1" outlineLevel="1">
      <c r="B84" s="140">
        <v>45271</v>
      </c>
      <c r="C84" s="93" t="s">
        <v>603</v>
      </c>
      <c r="D84" s="93" t="s">
        <v>402</v>
      </c>
      <c r="E84" s="93"/>
      <c r="F84" s="93"/>
      <c r="G84" s="93"/>
      <c r="H84" s="93">
        <v>10</v>
      </c>
      <c r="I84" s="93"/>
      <c r="J84" s="209">
        <v>1</v>
      </c>
      <c r="K84" s="93"/>
      <c r="L84" s="93" t="s">
        <v>403</v>
      </c>
      <c r="M84" s="93">
        <v>10</v>
      </c>
      <c r="N84" s="209">
        <v>10</v>
      </c>
      <c r="O84" s="93" t="s">
        <v>438</v>
      </c>
      <c r="P84" s="93" t="s">
        <v>683</v>
      </c>
      <c r="Q84" s="93"/>
    </row>
    <row r="85" spans="2:17" hidden="1" outlineLevel="1">
      <c r="B85" s="140">
        <v>45271</v>
      </c>
      <c r="C85" s="93" t="s">
        <v>603</v>
      </c>
      <c r="D85" s="93" t="s">
        <v>402</v>
      </c>
      <c r="E85" s="93"/>
      <c r="F85" s="93"/>
      <c r="G85" s="93"/>
      <c r="H85" s="93">
        <v>90</v>
      </c>
      <c r="I85" s="93"/>
      <c r="J85" s="209">
        <v>90</v>
      </c>
      <c r="K85" s="93"/>
      <c r="L85" s="93" t="s">
        <v>403</v>
      </c>
      <c r="M85" s="93">
        <v>90</v>
      </c>
      <c r="N85" s="209">
        <v>90</v>
      </c>
      <c r="O85" s="93" t="s">
        <v>438</v>
      </c>
      <c r="P85" s="93" t="s">
        <v>133</v>
      </c>
      <c r="Q85" s="93"/>
    </row>
    <row r="86" spans="2:17" hidden="1" outlineLevel="1">
      <c r="B86" s="140">
        <v>45427</v>
      </c>
      <c r="C86" s="93" t="s">
        <v>608</v>
      </c>
      <c r="D86" s="93" t="s">
        <v>402</v>
      </c>
      <c r="E86" s="93"/>
      <c r="F86" s="93"/>
      <c r="G86" s="93"/>
      <c r="H86" s="93">
        <v>115</v>
      </c>
      <c r="I86" s="93" t="s">
        <v>133</v>
      </c>
      <c r="J86" s="209">
        <v>115</v>
      </c>
      <c r="K86" s="93"/>
      <c r="L86" s="93" t="s">
        <v>497</v>
      </c>
      <c r="M86" s="93">
        <v>115</v>
      </c>
      <c r="N86" s="209">
        <v>115</v>
      </c>
      <c r="O86" s="93" t="s">
        <v>438</v>
      </c>
      <c r="P86" s="93" t="s">
        <v>684</v>
      </c>
      <c r="Q86" s="93"/>
    </row>
    <row r="87" spans="2:17" hidden="1" outlineLevel="1">
      <c r="B87" s="140"/>
      <c r="C87" s="93"/>
      <c r="D87" s="93"/>
      <c r="E87" s="93"/>
      <c r="F87" s="93"/>
      <c r="G87" s="93"/>
      <c r="H87" s="93"/>
      <c r="I87" s="93"/>
      <c r="J87" s="209"/>
      <c r="K87" s="93"/>
      <c r="L87" s="93"/>
      <c r="M87" s="93"/>
      <c r="N87" s="209"/>
      <c r="O87" s="93"/>
      <c r="P87" s="93"/>
      <c r="Q87" s="93"/>
    </row>
    <row r="88" spans="2:17" hidden="1" outlineLevel="1">
      <c r="B88" s="140"/>
      <c r="C88" s="93"/>
      <c r="D88" s="93"/>
      <c r="E88" s="93"/>
      <c r="F88" s="93"/>
      <c r="G88" s="93"/>
      <c r="H88" s="93"/>
      <c r="I88" s="93"/>
      <c r="J88" s="209"/>
      <c r="K88" s="93"/>
      <c r="L88" s="93"/>
      <c r="M88" s="93"/>
      <c r="N88" s="209"/>
      <c r="O88" s="93"/>
      <c r="P88" s="93"/>
      <c r="Q88" s="93"/>
    </row>
    <row r="89" spans="2:17" hidden="1" outlineLevel="1">
      <c r="B89" s="140"/>
      <c r="C89" s="93"/>
      <c r="D89" s="93"/>
      <c r="E89" s="93"/>
      <c r="F89" s="93"/>
      <c r="G89" s="93"/>
      <c r="H89" s="93"/>
      <c r="I89" s="93"/>
      <c r="J89" s="209"/>
      <c r="K89" s="93"/>
      <c r="L89" s="93"/>
      <c r="M89" s="93"/>
      <c r="N89" s="209"/>
      <c r="O89" s="93"/>
      <c r="P89" s="93"/>
      <c r="Q89" s="93"/>
    </row>
    <row r="90" spans="2:17" hidden="1" outlineLevel="1">
      <c r="B90" s="140"/>
      <c r="C90" s="93"/>
      <c r="D90" s="93"/>
      <c r="E90" s="93"/>
      <c r="F90" s="93"/>
      <c r="G90" s="93"/>
      <c r="H90" s="93"/>
      <c r="I90" s="93"/>
      <c r="J90" s="209"/>
      <c r="K90" s="93"/>
      <c r="L90" s="93"/>
      <c r="M90" s="93"/>
      <c r="N90" s="209"/>
      <c r="O90" s="93"/>
      <c r="P90" s="93"/>
      <c r="Q90" s="93"/>
    </row>
    <row r="91" spans="2:17" hidden="1" outlineLevel="1">
      <c r="B91" s="140"/>
      <c r="C91" s="93"/>
      <c r="D91" s="93"/>
      <c r="E91" s="93"/>
      <c r="F91" s="93"/>
      <c r="G91" s="93"/>
      <c r="H91" s="93"/>
      <c r="I91" s="93"/>
      <c r="J91" s="209"/>
      <c r="K91" s="93"/>
      <c r="L91" s="93"/>
      <c r="M91" s="93"/>
      <c r="N91" s="209"/>
      <c r="O91" s="93"/>
      <c r="P91" s="93"/>
      <c r="Q91" s="93"/>
    </row>
    <row r="92" spans="2:17" hidden="1" outlineLevel="1">
      <c r="B92" s="140"/>
      <c r="C92" s="93"/>
      <c r="D92" s="93"/>
      <c r="E92" s="93"/>
      <c r="F92" s="93"/>
      <c r="G92" s="93"/>
      <c r="H92" s="93"/>
      <c r="I92" s="93"/>
      <c r="J92" s="209"/>
      <c r="K92" s="93"/>
      <c r="L92" s="93"/>
      <c r="M92" s="93"/>
      <c r="N92" s="209"/>
      <c r="O92" s="93"/>
      <c r="P92" s="93"/>
      <c r="Q92" s="93"/>
    </row>
    <row r="93" spans="2:17" hidden="1" outlineLevel="1">
      <c r="B93" s="140"/>
      <c r="C93" s="93"/>
      <c r="D93" s="93"/>
      <c r="E93" s="93"/>
      <c r="F93" s="93"/>
      <c r="G93" s="93"/>
      <c r="H93" s="93"/>
      <c r="I93" s="93"/>
      <c r="J93" s="209"/>
      <c r="K93" s="93"/>
      <c r="L93" s="93"/>
      <c r="M93" s="93"/>
      <c r="N93" s="209"/>
      <c r="O93" s="93"/>
      <c r="P93" s="93"/>
      <c r="Q93" s="93"/>
    </row>
    <row r="94" spans="2:17" hidden="1" outlineLevel="1">
      <c r="B94" s="140"/>
      <c r="C94" s="93"/>
      <c r="D94" s="93"/>
      <c r="E94" s="93"/>
      <c r="F94" s="93"/>
      <c r="G94" s="93"/>
      <c r="H94" s="93"/>
      <c r="I94" s="93"/>
      <c r="J94" s="209"/>
      <c r="K94" s="93"/>
      <c r="L94" s="93"/>
      <c r="M94" s="93"/>
      <c r="N94" s="209"/>
      <c r="O94" s="93"/>
      <c r="P94" s="93"/>
      <c r="Q94" s="93"/>
    </row>
    <row r="95" spans="2:17" hidden="1" outlineLevel="1">
      <c r="B95" s="140"/>
      <c r="C95" s="93"/>
      <c r="D95" s="93"/>
      <c r="E95" s="93"/>
      <c r="F95" s="93"/>
      <c r="G95" s="93"/>
      <c r="H95" s="93"/>
      <c r="I95" s="93"/>
      <c r="J95" s="209"/>
      <c r="K95" s="93"/>
      <c r="L95" s="93"/>
      <c r="M95" s="93"/>
      <c r="N95" s="209"/>
      <c r="O95" s="93"/>
      <c r="P95" s="93"/>
      <c r="Q95" s="93"/>
    </row>
    <row r="96" spans="2:17" hidden="1" outlineLevel="1">
      <c r="B96" s="140"/>
      <c r="C96" s="93"/>
      <c r="D96" s="93"/>
      <c r="E96" s="93"/>
      <c r="F96" s="93"/>
      <c r="G96" s="93"/>
      <c r="H96" s="93"/>
      <c r="I96" s="93"/>
      <c r="J96" s="209"/>
      <c r="K96" s="93"/>
      <c r="L96" s="93"/>
      <c r="M96" s="93"/>
      <c r="N96" s="209"/>
      <c r="O96" s="93"/>
      <c r="P96" s="93"/>
      <c r="Q96" s="93"/>
    </row>
    <row r="97" spans="2:17" hidden="1" outlineLevel="1">
      <c r="B97" s="140"/>
      <c r="C97" s="93"/>
      <c r="D97" s="93"/>
      <c r="E97" s="93"/>
      <c r="F97" s="93"/>
      <c r="G97" s="93"/>
      <c r="H97" s="93"/>
      <c r="I97" s="93"/>
      <c r="J97" s="209"/>
      <c r="K97" s="93"/>
      <c r="L97" s="93"/>
      <c r="M97" s="93"/>
      <c r="N97" s="209"/>
      <c r="O97" s="93"/>
      <c r="P97" s="93"/>
      <c r="Q97" s="93"/>
    </row>
    <row r="98" spans="2:17" hidden="1" outlineLevel="1">
      <c r="B98" s="140"/>
      <c r="C98" s="93"/>
      <c r="D98" s="93"/>
      <c r="E98" s="93"/>
      <c r="F98" s="93"/>
      <c r="G98" s="93"/>
      <c r="H98" s="93"/>
      <c r="I98" s="93"/>
      <c r="J98" s="209"/>
      <c r="K98" s="93"/>
      <c r="L98" s="93"/>
      <c r="M98" s="93"/>
      <c r="N98" s="209"/>
      <c r="O98" s="93"/>
      <c r="P98" s="93"/>
      <c r="Q98" s="93"/>
    </row>
    <row r="99" spans="2:17" hidden="1" outlineLevel="1">
      <c r="B99" s="93"/>
      <c r="C99" s="93"/>
      <c r="D99" s="93"/>
      <c r="E99" s="93"/>
      <c r="F99" s="93"/>
      <c r="G99" s="93"/>
      <c r="H99" s="93"/>
      <c r="I99" s="93"/>
      <c r="J99" s="209"/>
      <c r="K99" s="93"/>
      <c r="L99" s="93"/>
      <c r="M99" s="93"/>
      <c r="N99" s="209"/>
      <c r="O99" s="93"/>
      <c r="P99" s="93"/>
      <c r="Q99" s="93"/>
    </row>
    <row r="100" spans="2:17" hidden="1" outlineLevel="1">
      <c r="B100" s="93"/>
      <c r="C100" s="93"/>
      <c r="D100" s="93"/>
      <c r="E100" s="93"/>
      <c r="F100" s="93"/>
      <c r="G100" s="93"/>
      <c r="H100" s="93"/>
      <c r="I100" s="93"/>
      <c r="J100" s="209"/>
      <c r="K100" s="93"/>
      <c r="L100" s="93"/>
      <c r="M100" s="93"/>
      <c r="N100" s="209"/>
      <c r="O100" s="93"/>
      <c r="P100" s="93"/>
      <c r="Q100" s="93"/>
    </row>
    <row r="101" spans="2:17" hidden="1" outlineLevel="1">
      <c r="B101" s="93"/>
      <c r="C101" s="93"/>
      <c r="D101" s="93"/>
      <c r="E101" s="93"/>
      <c r="F101" s="93"/>
      <c r="G101" s="93"/>
      <c r="H101" s="93"/>
      <c r="I101" s="93"/>
      <c r="J101" s="209"/>
      <c r="K101" s="93"/>
      <c r="L101" s="93"/>
      <c r="M101" s="93"/>
      <c r="N101" s="209"/>
      <c r="O101" s="93"/>
      <c r="P101" s="93"/>
      <c r="Q101" s="93"/>
    </row>
    <row r="102" spans="2:17" hidden="1" outlineLevel="1">
      <c r="B102" s="93"/>
      <c r="C102" s="93"/>
      <c r="D102" s="93"/>
      <c r="E102" s="93"/>
      <c r="F102" s="93"/>
      <c r="G102" s="93"/>
      <c r="H102" s="93"/>
      <c r="I102" s="93"/>
      <c r="J102" s="209"/>
      <c r="K102" s="93"/>
      <c r="L102" s="93"/>
      <c r="M102" s="93"/>
      <c r="N102" s="209"/>
      <c r="O102" s="93"/>
      <c r="P102" s="93"/>
      <c r="Q102" s="93"/>
    </row>
    <row r="103" spans="2:17" hidden="1" outlineLevel="1">
      <c r="B103" s="93"/>
      <c r="C103" s="93"/>
      <c r="D103" s="93"/>
      <c r="E103" s="93"/>
      <c r="F103" s="93"/>
      <c r="G103" s="93"/>
      <c r="H103" s="93"/>
      <c r="I103" s="93"/>
      <c r="J103" s="209"/>
      <c r="K103" s="93"/>
      <c r="L103" s="93"/>
      <c r="M103" s="93"/>
      <c r="N103" s="209"/>
      <c r="O103" s="93"/>
      <c r="P103" s="93"/>
      <c r="Q103" s="93"/>
    </row>
    <row r="104" spans="2:17" hidden="1" outlineLevel="1">
      <c r="B104" s="93"/>
      <c r="C104" s="93"/>
      <c r="D104" s="93"/>
      <c r="E104" s="93"/>
      <c r="F104" s="93"/>
      <c r="G104" s="93"/>
      <c r="H104" s="93"/>
      <c r="I104" s="93"/>
      <c r="J104" s="209"/>
      <c r="K104" s="93"/>
      <c r="L104" s="93"/>
      <c r="M104" s="93"/>
      <c r="N104" s="209"/>
      <c r="O104" s="93"/>
      <c r="P104" s="93"/>
      <c r="Q104" s="93"/>
    </row>
    <row r="105" spans="2:17" hidden="1" outlineLevel="1">
      <c r="B105" s="93"/>
      <c r="C105" s="93"/>
      <c r="D105" s="93"/>
      <c r="E105" s="93"/>
      <c r="F105" s="93"/>
      <c r="G105" s="93"/>
      <c r="H105" s="93"/>
      <c r="I105" s="93"/>
      <c r="J105" s="209"/>
      <c r="K105" s="93"/>
      <c r="L105" s="93"/>
      <c r="M105" s="93"/>
      <c r="N105" s="209"/>
      <c r="O105" s="93"/>
      <c r="P105" s="93"/>
      <c r="Q105" s="93"/>
    </row>
    <row r="106" spans="2:17" hidden="1" outlineLevel="1">
      <c r="B106" s="93"/>
      <c r="C106" s="93"/>
      <c r="D106" s="93"/>
      <c r="E106" s="93"/>
      <c r="F106" s="93"/>
      <c r="G106" s="93"/>
      <c r="H106" s="93"/>
      <c r="I106" s="93"/>
      <c r="J106" s="209"/>
      <c r="K106" s="93"/>
      <c r="L106" s="93"/>
      <c r="M106" s="93"/>
      <c r="N106" s="209"/>
      <c r="O106" s="93"/>
      <c r="P106" s="93"/>
      <c r="Q106" s="93"/>
    </row>
    <row r="107" spans="2:17" collapsed="1"/>
    <row r="108" spans="2:17" ht="15.9">
      <c r="B108" s="170" t="s">
        <v>305</v>
      </c>
    </row>
    <row r="109" spans="2:17">
      <c r="B109" t="s">
        <v>224</v>
      </c>
      <c r="C109" t="s">
        <v>306</v>
      </c>
      <c r="D109" t="s">
        <v>307</v>
      </c>
      <c r="E109" t="s">
        <v>265</v>
      </c>
      <c r="F109" t="s">
        <v>308</v>
      </c>
      <c r="G109" t="s">
        <v>256</v>
      </c>
    </row>
    <row r="110" spans="2:17" outlineLevel="1">
      <c r="B110" t="s">
        <v>107</v>
      </c>
      <c r="C110" t="s">
        <v>440</v>
      </c>
      <c r="D110" s="112">
        <v>2000000</v>
      </c>
      <c r="E110" s="218">
        <v>45219</v>
      </c>
      <c r="F110" t="s">
        <v>237</v>
      </c>
      <c r="G110" t="s">
        <v>237</v>
      </c>
    </row>
    <row r="111" spans="2:17" outlineLevel="1">
      <c r="B111" t="s">
        <v>685</v>
      </c>
      <c r="C111" t="s">
        <v>440</v>
      </c>
      <c r="D111" s="112">
        <v>2000000</v>
      </c>
      <c r="E111" s="218">
        <v>45219</v>
      </c>
      <c r="F111" t="s">
        <v>237</v>
      </c>
      <c r="G111" t="s">
        <v>237</v>
      </c>
    </row>
    <row r="112" spans="2:17" outlineLevel="1">
      <c r="D112" s="112"/>
      <c r="E112" s="218"/>
    </row>
    <row r="113" spans="2:7" outlineLevel="1">
      <c r="D113" s="112"/>
      <c r="E113" s="218"/>
    </row>
    <row r="114" spans="2:7" outlineLevel="1">
      <c r="D114" s="112"/>
    </row>
    <row r="115" spans="2:7" outlineLevel="1">
      <c r="D115" s="112"/>
    </row>
    <row r="117" spans="2:7" ht="15.9">
      <c r="B117" s="170" t="s">
        <v>309</v>
      </c>
    </row>
    <row r="118" spans="2:7">
      <c r="B118" t="s">
        <v>310</v>
      </c>
      <c r="C118" t="s">
        <v>311</v>
      </c>
      <c r="D118" t="s">
        <v>312</v>
      </c>
      <c r="E118" t="s">
        <v>313</v>
      </c>
      <c r="F118" t="s">
        <v>314</v>
      </c>
      <c r="G118" t="s">
        <v>315</v>
      </c>
    </row>
    <row r="119" spans="2:7" outlineLevel="1">
      <c r="B119" t="s">
        <v>686</v>
      </c>
      <c r="C119" s="140">
        <v>44875</v>
      </c>
      <c r="D119" s="112">
        <v>100000</v>
      </c>
      <c r="G119" s="112">
        <f>Table791341[[#This Row],[Purchase Price]]-Table791341[[#This Row],[Sale Price]]</f>
        <v>100000</v>
      </c>
    </row>
    <row r="120" spans="2:7" outlineLevel="1">
      <c r="B120" t="s">
        <v>686</v>
      </c>
      <c r="C120" s="140">
        <v>45261</v>
      </c>
      <c r="D120" s="112">
        <v>300000</v>
      </c>
      <c r="G120" s="112">
        <f>Table791341[[#This Row],[Purchase Price]]-Table791341[[#This Row],[Sale Price]]</f>
        <v>300000</v>
      </c>
    </row>
    <row r="121" spans="2:7" outlineLevel="1">
      <c r="G121">
        <f>Table791341[[#This Row],[Purchase Price]]-Table791341[[#This Row],[Sale Price]]</f>
        <v>0</v>
      </c>
    </row>
    <row r="122" spans="2:7" outlineLevel="1">
      <c r="G122">
        <f>Table791341[[#This Row],[Purchase Price]]-Table791341[[#This Row],[Sale Price]]</f>
        <v>0</v>
      </c>
    </row>
    <row r="123" spans="2:7" outlineLevel="1">
      <c r="G123">
        <f>Table791341[[#This Row],[Purchase Price]]-Table791341[[#This Row],[Sale Price]]</f>
        <v>0</v>
      </c>
    </row>
    <row r="124" spans="2:7" outlineLevel="1">
      <c r="G124">
        <f>Table791341[[#This Row],[Purchase Price]]-Table791341[[#This Row],[Sale Price]]</f>
        <v>0</v>
      </c>
    </row>
    <row r="125" spans="2:7" outlineLevel="1">
      <c r="G125">
        <f>Table791341[[#This Row],[Purchase Price]]-Table791341[[#This Row],[Sale Price]]</f>
        <v>0</v>
      </c>
    </row>
    <row r="126" spans="2:7" outlineLevel="1">
      <c r="G126">
        <f>Table791341[[#This Row],[Purchase Price]]-Table791341[[#This Row],[Sale Price]]</f>
        <v>0</v>
      </c>
    </row>
    <row r="127" spans="2:7" outlineLevel="1">
      <c r="G127">
        <f>Table791341[[#This Row],[Purchase Price]]-Table791341[[#This Row],[Sale Price]]</f>
        <v>0</v>
      </c>
    </row>
    <row r="128" spans="2:7" outlineLevel="1">
      <c r="G128">
        <f>Table791341[[#This Row],[Purchase Price]]-Table791341[[#This Row],[Sale Price]]</f>
        <v>0</v>
      </c>
    </row>
    <row r="129" spans="7:7" outlineLevel="1">
      <c r="G129">
        <f>Table791341[[#This Row],[Purchase Price]]-Table791341[[#This Row],[Sale Price]]</f>
        <v>0</v>
      </c>
    </row>
    <row r="130" spans="7:7" outlineLevel="1">
      <c r="G130">
        <f>Table791341[[#This Row],[Purchase Price]]-Table791341[[#This Row],[Sale Price]]</f>
        <v>0</v>
      </c>
    </row>
    <row r="131" spans="7:7" outlineLevel="1">
      <c r="G131">
        <f>Table791341[[#This Row],[Purchase Price]]-Table791341[[#This Row],[Sale Price]]</f>
        <v>0</v>
      </c>
    </row>
    <row r="132" spans="7:7" outlineLevel="1">
      <c r="G132">
        <f>Table791341[[#This Row],[Purchase Price]]-Table791341[[#This Row],[Sale Price]]</f>
        <v>0</v>
      </c>
    </row>
    <row r="133" spans="7:7" outlineLevel="1">
      <c r="G133">
        <f>Table791341[[#This Row],[Purchase Price]]-Table791341[[#This Row],[Sale Price]]</f>
        <v>0</v>
      </c>
    </row>
    <row r="134" spans="7:7" outlineLevel="1">
      <c r="G134">
        <f>Table791341[[#This Row],[Purchase Price]]-Table791341[[#This Row],[Sale Price]]</f>
        <v>0</v>
      </c>
    </row>
    <row r="135" spans="7:7" outlineLevel="1">
      <c r="G135">
        <f>Table791341[[#This Row],[Purchase Price]]-Table791341[[#This Row],[Sale Price]]</f>
        <v>0</v>
      </c>
    </row>
    <row r="136" spans="7:7" outlineLevel="1">
      <c r="G136">
        <f>Table791341[[#This Row],[Purchase Price]]-Table791341[[#This Row],[Sale Price]]</f>
        <v>0</v>
      </c>
    </row>
  </sheetData>
  <mergeCells count="15">
    <mergeCell ref="B3:H3"/>
    <mergeCell ref="G5:H5"/>
    <mergeCell ref="C14:D14"/>
    <mergeCell ref="G15:H15"/>
    <mergeCell ref="C17:D17"/>
    <mergeCell ref="C16:D16"/>
    <mergeCell ref="C15:D15"/>
    <mergeCell ref="G11:H11"/>
    <mergeCell ref="C6:D6"/>
    <mergeCell ref="C21:D21"/>
    <mergeCell ref="C18:D18"/>
    <mergeCell ref="C19:D19"/>
    <mergeCell ref="C20:D20"/>
    <mergeCell ref="G17:H17"/>
    <mergeCell ref="G19:H19"/>
  </mergeCells>
  <hyperlinks>
    <hyperlink ref="B1" location="'All Companies'!A1" display="All Companies" xr:uid="{7647C392-B3A3-4B71-80F7-0D613A000A1F}"/>
    <hyperlink ref="C29" r:id="rId1" xr:uid="{35D82B51-9BF5-4992-A6EA-FBB34F4FED4F}"/>
    <hyperlink ref="G43" r:id="rId2" xr:uid="{80CF671D-C3D1-456E-93B1-1AAD9314FEAD}"/>
    <hyperlink ref="G59" r:id="rId3" xr:uid="{071C9400-A1DA-4C97-B1EC-31AA2F4208E5}"/>
    <hyperlink ref="G60" r:id="rId4" xr:uid="{1D9CC70B-DBEF-48CD-A782-B93A2633BA59}"/>
    <hyperlink ref="G61" r:id="rId5" xr:uid="{AA68B425-CF5B-4186-97D4-806950C2B43A}"/>
  </hyperlinks>
  <pageMargins left="0.7" right="0.7" top="0.75" bottom="0.75" header="0.3" footer="0.3"/>
  <tableParts count="4">
    <tablePart r:id="rId6"/>
    <tablePart r:id="rId7"/>
    <tablePart r:id="rId8"/>
    <tablePart r:id="rId9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43E88A8-388B-46EC-A1A2-6C0D0A66650C}">
          <x14:formula1>
            <xm:f>'Document Type'!$B$45:$B$47</xm:f>
          </x14:formula1>
          <xm:sqref>C8 G8</xm:sqref>
        </x14:dataValidation>
        <x14:dataValidation type="list" allowBlank="1" showInputMessage="1" showErrorMessage="1" xr:uid="{5AEBB1EC-D061-426D-8774-615F6A0375D6}">
          <x14:formula1>
            <xm:f>'Document Type'!$B$49:$B$51</xm:f>
          </x14:formula1>
          <xm:sqref>C10:C11</xm:sqref>
        </x14:dataValidation>
        <x14:dataValidation type="list" allowBlank="1" showInputMessage="1" showErrorMessage="1" xr:uid="{73A55799-8F58-4F1C-AC2C-3B3DAC093295}">
          <x14:formula1>
            <xm:f>'Document Type'!$B$38:$B$39</xm:f>
          </x14:formula1>
          <xm:sqref>C13:C14 F110:G111 G13:G14</xm:sqref>
        </x14:dataValidation>
        <x14:dataValidation type="list" allowBlank="1" showInputMessage="1" showErrorMessage="1" xr:uid="{5B5B03A7-1746-4A80-A201-BEA73E09E67B}">
          <x14:formula1>
            <xm:f>'Document Type'!$B$6:$B$34</xm:f>
          </x14:formula1>
          <xm:sqref>C32:C75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DF72-3FFF-5B48-8A8A-DF5DE9D35241}">
  <dimension ref="B1:R121"/>
  <sheetViews>
    <sheetView workbookViewId="0">
      <selection activeCell="C24" sqref="C24"/>
    </sheetView>
  </sheetViews>
  <sheetFormatPr defaultColWidth="8.69140625" defaultRowHeight="14.6" outlineLevelRow="1"/>
  <cols>
    <col min="1" max="1" width="4.15234375" customWidth="1"/>
    <col min="2" max="2" width="38.3046875" bestFit="1" customWidth="1"/>
    <col min="3" max="3" width="42.69140625" bestFit="1" customWidth="1"/>
    <col min="4" max="4" width="29.15234375" customWidth="1"/>
    <col min="5" max="5" width="18.3046875" bestFit="1" customWidth="1"/>
    <col min="6" max="6" width="28.15234375" bestFit="1" customWidth="1"/>
    <col min="7" max="7" width="46.69140625" bestFit="1" customWidth="1"/>
    <col min="8" max="8" width="36.3046875" bestFit="1" customWidth="1"/>
    <col min="9" max="9" width="17.3046875" bestFit="1" customWidth="1"/>
    <col min="10" max="10" width="20.3046875" customWidth="1"/>
    <col min="11" max="11" width="76.3046875" bestFit="1" customWidth="1"/>
    <col min="12" max="12" width="25.3046875" bestFit="1" customWidth="1"/>
  </cols>
  <sheetData>
    <row r="1" spans="2:12">
      <c r="B1" s="69" t="s">
        <v>195</v>
      </c>
    </row>
    <row r="2" spans="2:12" ht="15" thickBot="1">
      <c r="J2" t="s">
        <v>196</v>
      </c>
      <c r="K2" t="s">
        <v>197</v>
      </c>
      <c r="L2">
        <v>2024</v>
      </c>
    </row>
    <row r="3" spans="2:12" ht="26.8" customHeight="1" thickBot="1">
      <c r="B3" s="373" t="s">
        <v>687</v>
      </c>
      <c r="C3" s="374"/>
      <c r="D3" s="374"/>
      <c r="E3" s="374"/>
      <c r="F3" s="374"/>
      <c r="G3" s="374"/>
      <c r="H3" s="375"/>
      <c r="J3" t="s">
        <v>199</v>
      </c>
      <c r="K3" t="s">
        <v>200</v>
      </c>
    </row>
    <row r="4" spans="2:12" ht="17.8" customHeight="1">
      <c r="B4" s="245" t="s">
        <v>201</v>
      </c>
      <c r="C4" s="287"/>
      <c r="D4" s="273" t="s">
        <v>202</v>
      </c>
      <c r="E4" s="287"/>
      <c r="F4" s="93"/>
      <c r="G4" s="273" t="s">
        <v>203</v>
      </c>
      <c r="H4" s="287"/>
      <c r="J4" t="s">
        <v>204</v>
      </c>
      <c r="K4" t="s">
        <v>205</v>
      </c>
    </row>
    <row r="5" spans="2:12">
      <c r="B5" s="250" t="s">
        <v>206</v>
      </c>
      <c r="C5" s="254">
        <v>45415</v>
      </c>
      <c r="D5" s="254"/>
      <c r="E5" s="256"/>
      <c r="F5" s="274" t="s">
        <v>207</v>
      </c>
      <c r="G5" s="378"/>
      <c r="H5" s="379"/>
      <c r="J5" t="s">
        <v>208</v>
      </c>
      <c r="K5" t="s">
        <v>209</v>
      </c>
    </row>
    <row r="6" spans="2:12">
      <c r="B6" s="251" t="s">
        <v>210</v>
      </c>
      <c r="C6" s="376" t="s">
        <v>688</v>
      </c>
      <c r="D6" s="376"/>
      <c r="E6" s="232"/>
      <c r="F6" s="275" t="s">
        <v>211</v>
      </c>
      <c r="G6" s="232"/>
      <c r="H6" s="276"/>
      <c r="J6" t="s">
        <v>213</v>
      </c>
      <c r="K6" t="s">
        <v>214</v>
      </c>
    </row>
    <row r="7" spans="2:12">
      <c r="B7" s="250" t="s">
        <v>503</v>
      </c>
      <c r="C7" s="256"/>
      <c r="D7" s="256"/>
      <c r="E7" s="254"/>
      <c r="F7" s="256"/>
      <c r="G7" s="256"/>
      <c r="H7" s="257"/>
      <c r="J7" t="s">
        <v>216</v>
      </c>
      <c r="K7" t="s">
        <v>217</v>
      </c>
    </row>
    <row r="8" spans="2:12">
      <c r="B8" s="249" t="s">
        <v>218</v>
      </c>
      <c r="C8" s="232" t="s">
        <v>689</v>
      </c>
      <c r="D8" s="232"/>
      <c r="E8" s="252"/>
      <c r="F8" s="275" t="s">
        <v>220</v>
      </c>
      <c r="G8" s="256" t="s">
        <v>689</v>
      </c>
      <c r="H8" s="276"/>
      <c r="J8" t="s">
        <v>222</v>
      </c>
      <c r="K8" t="s">
        <v>223</v>
      </c>
    </row>
    <row r="9" spans="2:12">
      <c r="B9" s="259"/>
      <c r="C9" s="259"/>
      <c r="D9" s="256" t="s">
        <v>224</v>
      </c>
      <c r="E9" s="254"/>
      <c r="F9" s="256"/>
      <c r="G9" s="256"/>
      <c r="H9" s="257"/>
      <c r="J9" t="s">
        <v>225</v>
      </c>
      <c r="K9" t="s">
        <v>226</v>
      </c>
    </row>
    <row r="10" spans="2:12">
      <c r="B10" s="249" t="s">
        <v>227</v>
      </c>
      <c r="C10" s="277" t="s">
        <v>690</v>
      </c>
      <c r="D10" s="232">
        <v>45415</v>
      </c>
      <c r="E10" s="232"/>
      <c r="F10" s="232"/>
      <c r="G10" s="232"/>
      <c r="H10" s="276"/>
      <c r="J10" t="s">
        <v>229</v>
      </c>
      <c r="K10" t="s">
        <v>230</v>
      </c>
    </row>
    <row r="11" spans="2:12">
      <c r="B11" s="250" t="s">
        <v>231</v>
      </c>
      <c r="C11" s="290" t="s">
        <v>690</v>
      </c>
      <c r="D11" s="256">
        <v>45415</v>
      </c>
      <c r="E11" s="256"/>
      <c r="F11" s="256"/>
      <c r="G11" s="378"/>
      <c r="H11" s="379"/>
      <c r="J11" t="s">
        <v>232</v>
      </c>
      <c r="K11" t="s">
        <v>233</v>
      </c>
    </row>
    <row r="12" spans="2:12">
      <c r="B12" s="240"/>
      <c r="C12" s="232"/>
      <c r="D12" s="232"/>
      <c r="E12" s="252"/>
      <c r="F12" s="232"/>
      <c r="G12" s="232"/>
      <c r="H12" s="276"/>
      <c r="J12" t="s">
        <v>234</v>
      </c>
      <c r="K12" t="s">
        <v>235</v>
      </c>
    </row>
    <row r="13" spans="2:12">
      <c r="B13" s="250" t="s">
        <v>236</v>
      </c>
      <c r="C13" s="237" t="s">
        <v>212</v>
      </c>
      <c r="D13" s="256"/>
      <c r="E13" s="256"/>
      <c r="F13" s="274" t="s">
        <v>238</v>
      </c>
      <c r="G13" s="237" t="s">
        <v>212</v>
      </c>
      <c r="H13" s="257"/>
      <c r="J13" t="s">
        <v>239</v>
      </c>
    </row>
    <row r="14" spans="2:12">
      <c r="B14" s="242"/>
      <c r="C14" s="376"/>
      <c r="D14" s="376"/>
      <c r="E14" s="232" t="s">
        <v>240</v>
      </c>
      <c r="F14" s="232" t="s">
        <v>241</v>
      </c>
      <c r="G14" s="232" t="s">
        <v>237</v>
      </c>
      <c r="H14" s="276"/>
      <c r="J14" t="s">
        <v>242</v>
      </c>
    </row>
    <row r="15" spans="2:12">
      <c r="B15" s="250" t="s">
        <v>243</v>
      </c>
      <c r="C15" s="378"/>
      <c r="D15" s="378"/>
      <c r="E15" s="256"/>
      <c r="F15" s="256"/>
      <c r="G15" s="378"/>
      <c r="H15" s="379"/>
      <c r="J15" t="s">
        <v>245</v>
      </c>
    </row>
    <row r="16" spans="2:12">
      <c r="B16" s="242"/>
      <c r="C16" s="376"/>
      <c r="D16" s="376"/>
      <c r="E16" s="232"/>
      <c r="F16" s="232"/>
      <c r="G16" s="232"/>
      <c r="H16" s="276"/>
      <c r="J16" t="s">
        <v>246</v>
      </c>
    </row>
    <row r="17" spans="2:10">
      <c r="B17" s="259" t="s">
        <v>247</v>
      </c>
      <c r="C17" s="256" t="s">
        <v>248</v>
      </c>
      <c r="D17" s="256" t="s">
        <v>82</v>
      </c>
      <c r="E17" s="254" t="s">
        <v>83</v>
      </c>
      <c r="F17" s="256" t="s">
        <v>249</v>
      </c>
      <c r="G17" s="256"/>
      <c r="H17" s="257"/>
      <c r="J17" t="s">
        <v>250</v>
      </c>
    </row>
    <row r="18" spans="2:10">
      <c r="B18" s="240"/>
      <c r="C18" s="232"/>
      <c r="D18" s="232"/>
      <c r="E18" s="252"/>
      <c r="F18" s="232"/>
      <c r="G18" s="232"/>
      <c r="H18" s="276"/>
      <c r="J18" t="s">
        <v>253</v>
      </c>
    </row>
    <row r="19" spans="2:10">
      <c r="B19" s="259"/>
      <c r="C19" s="256"/>
      <c r="D19" s="256"/>
      <c r="E19" s="254"/>
      <c r="F19" s="256"/>
      <c r="G19" s="256"/>
      <c r="H19" s="257"/>
      <c r="J19" t="s">
        <v>256</v>
      </c>
    </row>
    <row r="20" spans="2:10">
      <c r="B20" s="240"/>
      <c r="C20" s="232"/>
      <c r="D20" s="232"/>
      <c r="E20" s="252"/>
      <c r="F20" s="232"/>
      <c r="G20" s="232"/>
      <c r="H20" s="276"/>
      <c r="J20" t="s">
        <v>257</v>
      </c>
    </row>
    <row r="21" spans="2:10">
      <c r="B21" s="259"/>
      <c r="C21" s="256"/>
      <c r="D21" s="256"/>
      <c r="E21" s="254"/>
      <c r="F21" s="256"/>
      <c r="G21" s="256"/>
      <c r="H21" s="257"/>
      <c r="J21" t="s">
        <v>258</v>
      </c>
    </row>
    <row r="22" spans="2:10">
      <c r="B22" s="240"/>
      <c r="C22" s="232"/>
      <c r="D22" s="232"/>
      <c r="E22" s="252"/>
      <c r="F22" s="232"/>
      <c r="G22" s="232"/>
      <c r="H22" s="276"/>
    </row>
    <row r="24" spans="2:10">
      <c r="B24" t="s">
        <v>259</v>
      </c>
      <c r="C24" s="69" t="s">
        <v>687</v>
      </c>
      <c r="D24" t="s">
        <v>260</v>
      </c>
      <c r="E24" t="s">
        <v>691</v>
      </c>
    </row>
    <row r="26" spans="2:10" ht="15.9">
      <c r="B26" s="170" t="s">
        <v>262</v>
      </c>
      <c r="C26" s="170" t="s">
        <v>263</v>
      </c>
      <c r="D26" s="170" t="s">
        <v>264</v>
      </c>
      <c r="E26" s="170" t="s">
        <v>265</v>
      </c>
      <c r="F26" s="170" t="s">
        <v>266</v>
      </c>
      <c r="G26" s="170" t="s">
        <v>267</v>
      </c>
      <c r="H26" s="170" t="s">
        <v>268</v>
      </c>
      <c r="J26" s="170" t="s">
        <v>269</v>
      </c>
    </row>
    <row r="27" spans="2:10" outlineLevel="1">
      <c r="B27" s="14" t="s">
        <v>258</v>
      </c>
      <c r="C27" t="s">
        <v>258</v>
      </c>
      <c r="D27" t="str">
        <f>VLOOKUP(C27,'Document Type'!$B$6:$C$34,2,FALSE)</f>
        <v>Trust Deed</v>
      </c>
      <c r="E27" s="218">
        <v>45415</v>
      </c>
      <c r="F27" s="253"/>
      <c r="G27" s="253" t="s">
        <v>692</v>
      </c>
      <c r="H27" t="s">
        <v>148</v>
      </c>
    </row>
    <row r="28" spans="2:10" outlineLevel="1">
      <c r="B28" t="s">
        <v>693</v>
      </c>
      <c r="C28" t="s">
        <v>229</v>
      </c>
      <c r="D28" t="str">
        <f>VLOOKUP(C28,'Document Type'!$B$6:$C$34,2,FALSE)</f>
        <v>Assets</v>
      </c>
      <c r="E28" s="218">
        <v>45427</v>
      </c>
      <c r="F28" s="253"/>
      <c r="G28" s="253" t="s">
        <v>694</v>
      </c>
      <c r="H28" t="s">
        <v>148</v>
      </c>
    </row>
    <row r="29" spans="2:10" outlineLevel="1">
      <c r="D29" t="e">
        <f>VLOOKUP(C29,'Document Type'!$B$6:$C$34,2,FALSE)</f>
        <v>#N/A</v>
      </c>
    </row>
    <row r="30" spans="2:10" outlineLevel="1">
      <c r="D30" t="e">
        <f>VLOOKUP(C30,'Document Type'!$B$6:$C$34,2,FALSE)</f>
        <v>#N/A</v>
      </c>
    </row>
    <row r="31" spans="2:10" outlineLevel="1">
      <c r="D31" t="e">
        <f>VLOOKUP(C31,'Document Type'!$B$6:$C$34,2,FALSE)</f>
        <v>#N/A</v>
      </c>
    </row>
    <row r="32" spans="2:10" outlineLevel="1">
      <c r="D32" t="e">
        <f>VLOOKUP(C32,'Document Type'!$B$6:$C$34,2,FALSE)</f>
        <v>#N/A</v>
      </c>
    </row>
    <row r="33" spans="4:4" outlineLevel="1">
      <c r="D33" t="e">
        <f>VLOOKUP(C33,'Document Type'!$B$6:$C$34,2,FALSE)</f>
        <v>#N/A</v>
      </c>
    </row>
    <row r="34" spans="4:4" outlineLevel="1">
      <c r="D34" t="e">
        <f>VLOOKUP(C34,'Document Type'!$B$6:$C$34,2,FALSE)</f>
        <v>#N/A</v>
      </c>
    </row>
    <row r="35" spans="4:4" outlineLevel="1">
      <c r="D35" t="e">
        <f>VLOOKUP(C35,'Document Type'!$B$6:$C$34,2,FALSE)</f>
        <v>#N/A</v>
      </c>
    </row>
    <row r="36" spans="4:4" outlineLevel="1">
      <c r="D36" t="e">
        <f>VLOOKUP(C36,'Document Type'!$B$6:$C$34,2,FALSE)</f>
        <v>#N/A</v>
      </c>
    </row>
    <row r="37" spans="4:4" outlineLevel="1">
      <c r="D37" t="e">
        <f>VLOOKUP(C37,'Document Type'!$B$6:$C$34,2,FALSE)</f>
        <v>#N/A</v>
      </c>
    </row>
    <row r="38" spans="4:4" outlineLevel="1">
      <c r="D38" t="e">
        <f>VLOOKUP(C38,'Document Type'!$B$6:$C$34,2,FALSE)</f>
        <v>#N/A</v>
      </c>
    </row>
    <row r="39" spans="4:4" outlineLevel="1">
      <c r="D39" t="e">
        <f>VLOOKUP(C39,'Document Type'!$B$6:$C$34,2,FALSE)</f>
        <v>#N/A</v>
      </c>
    </row>
    <row r="40" spans="4:4" outlineLevel="1">
      <c r="D40" t="e">
        <f>VLOOKUP(C40,'Document Type'!$B$6:$C$34,2,FALSE)</f>
        <v>#N/A</v>
      </c>
    </row>
    <row r="41" spans="4:4" outlineLevel="1">
      <c r="D41" t="e">
        <f>VLOOKUP(C41,'Document Type'!$B$6:$C$34,2,FALSE)</f>
        <v>#N/A</v>
      </c>
    </row>
    <row r="42" spans="4:4" outlineLevel="1">
      <c r="D42" t="e">
        <f>VLOOKUP(C42,'Document Type'!$B$6:$C$34,2,FALSE)</f>
        <v>#N/A</v>
      </c>
    </row>
    <row r="43" spans="4:4" outlineLevel="1">
      <c r="D43" t="e">
        <f>VLOOKUP(C43,'Document Type'!$B$6:$C$34,2,FALSE)</f>
        <v>#N/A</v>
      </c>
    </row>
    <row r="44" spans="4:4" outlineLevel="1">
      <c r="D44" t="e">
        <f>VLOOKUP(C44,'Document Type'!$B$6:$C$34,2,FALSE)</f>
        <v>#N/A</v>
      </c>
    </row>
    <row r="45" spans="4:4" outlineLevel="1">
      <c r="D45" t="e">
        <f>VLOOKUP(C45,'Document Type'!$B$6:$C$34,2,FALSE)</f>
        <v>#N/A</v>
      </c>
    </row>
    <row r="46" spans="4:4" outlineLevel="1">
      <c r="D46" t="e">
        <f>VLOOKUP(C46,'Document Type'!$B$6:$C$34,2,FALSE)</f>
        <v>#N/A</v>
      </c>
    </row>
    <row r="47" spans="4:4" outlineLevel="1">
      <c r="D47" t="e">
        <f>VLOOKUP(C47,'Document Type'!$B$6:$C$34,2,FALSE)</f>
        <v>#N/A</v>
      </c>
    </row>
    <row r="48" spans="4:4" outlineLevel="1">
      <c r="D48" t="e">
        <f>VLOOKUP(C48,'Document Type'!$B$6:$C$34,2,FALSE)</f>
        <v>#N/A</v>
      </c>
    </row>
    <row r="49" spans="2:18" outlineLevel="1">
      <c r="D49" t="e">
        <f>VLOOKUP(C49,'Document Type'!$B$6:$C$34,2,FALSE)</f>
        <v>#N/A</v>
      </c>
    </row>
    <row r="50" spans="2:18" outlineLevel="1">
      <c r="D50" t="e">
        <f>VLOOKUP(C50,'Document Type'!$B$6:$C$34,2,FALSE)</f>
        <v>#N/A</v>
      </c>
    </row>
    <row r="51" spans="2:18" outlineLevel="1">
      <c r="D51" t="e">
        <f>VLOOKUP(C51,'Document Type'!$B$6:$C$34,2,FALSE)</f>
        <v>#N/A</v>
      </c>
    </row>
    <row r="52" spans="2:18" outlineLevel="1">
      <c r="D52" t="e">
        <f>VLOOKUP(C52,'Document Type'!$B$6:$C$34,2,FALSE)</f>
        <v>#N/A</v>
      </c>
    </row>
    <row r="53" spans="2:18" outlineLevel="1">
      <c r="D53" t="e">
        <f>VLOOKUP(C53,'Document Type'!$B$6:$C$34,2,FALSE)</f>
        <v>#N/A</v>
      </c>
    </row>
    <row r="54" spans="2:18" outlineLevel="1">
      <c r="D54" t="e">
        <f>VLOOKUP(C54,'Document Type'!$B$6:$C$34,2,FALSE)</f>
        <v>#N/A</v>
      </c>
    </row>
    <row r="55" spans="2:18" outlineLevel="1">
      <c r="D55" t="e">
        <f>VLOOKUP(C55,'Document Type'!$B$6:$C$34,2,FALSE)</f>
        <v>#N/A</v>
      </c>
    </row>
    <row r="56" spans="2:18" outlineLevel="1">
      <c r="D56" t="e">
        <f>VLOOKUP(C56,'Document Type'!$B$6:$C$34,2,FALSE)</f>
        <v>#N/A</v>
      </c>
    </row>
    <row r="57" spans="2:18" outlineLevel="1">
      <c r="D57" t="e">
        <f>VLOOKUP(C57,'Document Type'!$B$6:$C$34,2,FALSE)</f>
        <v>#N/A</v>
      </c>
    </row>
    <row r="58" spans="2:18" outlineLevel="1">
      <c r="D58" t="e">
        <f>VLOOKUP(C58,'Document Type'!$B$6:$C$34,2,FALSE)</f>
        <v>#N/A</v>
      </c>
    </row>
    <row r="59" spans="2:18" outlineLevel="1">
      <c r="D59" t="e">
        <f>VLOOKUP(C59,'Document Type'!$B$6:$C$34,2,FALSE)</f>
        <v>#N/A</v>
      </c>
    </row>
    <row r="60" spans="2:18" outlineLevel="1">
      <c r="D60" t="e">
        <f>VLOOKUP(C60,'Document Type'!$B$6:$C$34,2,FALSE)</f>
        <v>#N/A</v>
      </c>
    </row>
    <row r="61" spans="2:18" outlineLevel="1">
      <c r="D61" t="e">
        <f>VLOOKUP(C61,'Document Type'!$B$6:$C$34,2,FALSE)</f>
        <v>#N/A</v>
      </c>
    </row>
    <row r="63" spans="2:18" ht="15.9">
      <c r="B63" s="170" t="s">
        <v>289</v>
      </c>
    </row>
    <row r="64" spans="2:18">
      <c r="B64" s="350" t="s">
        <v>265</v>
      </c>
      <c r="C64" s="350" t="s">
        <v>290</v>
      </c>
      <c r="D64" s="350" t="s">
        <v>291</v>
      </c>
      <c r="E64" s="351" t="s">
        <v>292</v>
      </c>
      <c r="F64" s="350" t="s">
        <v>293</v>
      </c>
      <c r="G64" s="350" t="s">
        <v>294</v>
      </c>
      <c r="H64" s="352" t="s">
        <v>295</v>
      </c>
      <c r="I64" s="353" t="s">
        <v>296</v>
      </c>
      <c r="J64" s="354" t="s">
        <v>297</v>
      </c>
      <c r="K64" s="199" t="s">
        <v>298</v>
      </c>
      <c r="L64" s="199" t="s">
        <v>299</v>
      </c>
      <c r="M64" s="199" t="s">
        <v>300</v>
      </c>
      <c r="N64" s="354" t="s">
        <v>301</v>
      </c>
      <c r="O64" s="199" t="s">
        <v>302</v>
      </c>
      <c r="P64" s="199" t="s">
        <v>303</v>
      </c>
      <c r="Q64" s="199" t="s">
        <v>304</v>
      </c>
      <c r="R64" s="199"/>
    </row>
    <row r="65" spans="2:17" hidden="1" outlineLevel="1">
      <c r="B65" s="140"/>
      <c r="C65" s="93"/>
      <c r="D65" s="93"/>
      <c r="E65" s="93"/>
      <c r="F65" s="93"/>
      <c r="G65" s="93"/>
      <c r="H65" s="93"/>
      <c r="I65" s="93"/>
      <c r="J65" s="209"/>
      <c r="K65" s="93"/>
      <c r="L65" s="93"/>
      <c r="M65" s="93"/>
      <c r="N65" s="209"/>
      <c r="O65" s="93"/>
      <c r="P65" s="93"/>
      <c r="Q65" s="93"/>
    </row>
    <row r="66" spans="2:17" hidden="1" outlineLevel="1">
      <c r="B66" s="140"/>
      <c r="C66" s="93"/>
      <c r="D66" s="93"/>
      <c r="E66" s="93"/>
      <c r="F66" s="93"/>
      <c r="G66" s="93"/>
      <c r="H66" s="93"/>
      <c r="I66" s="93"/>
      <c r="J66" s="209"/>
      <c r="K66" s="93"/>
      <c r="L66" s="93"/>
      <c r="M66" s="93"/>
      <c r="N66" s="209"/>
      <c r="O66" s="93"/>
      <c r="P66" s="93"/>
      <c r="Q66" s="93"/>
    </row>
    <row r="67" spans="2:17" hidden="1" outlineLevel="1">
      <c r="B67" s="140"/>
      <c r="C67" s="93"/>
      <c r="D67" s="93"/>
      <c r="E67" s="93"/>
      <c r="F67" s="93"/>
      <c r="G67" s="93"/>
      <c r="H67" s="93"/>
      <c r="I67" s="93"/>
      <c r="J67" s="209"/>
      <c r="K67" s="93"/>
      <c r="L67" s="93"/>
      <c r="M67" s="93"/>
      <c r="N67" s="209"/>
      <c r="O67" s="93"/>
      <c r="P67" s="93"/>
      <c r="Q67" s="93"/>
    </row>
    <row r="68" spans="2:17" hidden="1" outlineLevel="1">
      <c r="B68" s="140"/>
      <c r="C68" s="93"/>
      <c r="D68" s="93"/>
      <c r="E68" s="93"/>
      <c r="F68" s="93"/>
      <c r="G68" s="93"/>
      <c r="H68" s="93"/>
      <c r="I68" s="93"/>
      <c r="J68" s="209"/>
      <c r="K68" s="93"/>
      <c r="L68" s="93"/>
      <c r="M68" s="93"/>
      <c r="N68" s="209"/>
      <c r="O68" s="93"/>
      <c r="P68" s="93"/>
      <c r="Q68" s="93"/>
    </row>
    <row r="69" spans="2:17" hidden="1" outlineLevel="1">
      <c r="B69" s="140"/>
      <c r="C69" s="93"/>
      <c r="D69" s="93"/>
      <c r="E69" s="93"/>
      <c r="F69" s="93"/>
      <c r="G69" s="93"/>
      <c r="H69" s="93"/>
      <c r="I69" s="93"/>
      <c r="J69" s="209"/>
      <c r="K69" s="93"/>
      <c r="L69" s="93"/>
      <c r="M69" s="93"/>
      <c r="N69" s="209"/>
      <c r="O69" s="93"/>
      <c r="P69" s="93"/>
      <c r="Q69" s="93"/>
    </row>
    <row r="70" spans="2:17" hidden="1" outlineLevel="1">
      <c r="B70" s="140"/>
      <c r="C70" s="93"/>
      <c r="D70" s="93"/>
      <c r="E70" s="93"/>
      <c r="F70" s="93"/>
      <c r="G70" s="93"/>
      <c r="H70" s="93"/>
      <c r="I70" s="93"/>
      <c r="J70" s="209"/>
      <c r="K70" s="93"/>
      <c r="L70" s="93"/>
      <c r="M70" s="93"/>
      <c r="N70" s="209"/>
      <c r="O70" s="93"/>
      <c r="P70" s="93"/>
      <c r="Q70" s="93"/>
    </row>
    <row r="71" spans="2:17" hidden="1" outlineLevel="1">
      <c r="B71" s="140"/>
      <c r="C71" s="93"/>
      <c r="D71" s="93"/>
      <c r="E71" s="93"/>
      <c r="F71" s="93"/>
      <c r="G71" s="93"/>
      <c r="H71" s="93"/>
      <c r="I71" s="93"/>
      <c r="J71" s="209"/>
      <c r="K71" s="93"/>
      <c r="L71" s="93"/>
      <c r="M71" s="93"/>
      <c r="N71" s="209"/>
      <c r="O71" s="93"/>
      <c r="P71" s="93"/>
      <c r="Q71" s="93"/>
    </row>
    <row r="72" spans="2:17" hidden="1" outlineLevel="1">
      <c r="B72" s="140"/>
      <c r="C72" s="93"/>
      <c r="D72" s="93"/>
      <c r="E72" s="93"/>
      <c r="F72" s="93"/>
      <c r="G72" s="93"/>
      <c r="H72" s="93"/>
      <c r="I72" s="93"/>
      <c r="J72" s="209"/>
      <c r="K72" s="93"/>
      <c r="L72" s="93"/>
      <c r="M72" s="93"/>
      <c r="N72" s="209"/>
      <c r="O72" s="93"/>
      <c r="P72" s="93"/>
      <c r="Q72" s="93"/>
    </row>
    <row r="73" spans="2:17" hidden="1" outlineLevel="1">
      <c r="B73" s="140"/>
      <c r="C73" s="93"/>
      <c r="D73" s="93"/>
      <c r="E73" s="93"/>
      <c r="F73" s="93"/>
      <c r="G73" s="93"/>
      <c r="H73" s="93"/>
      <c r="I73" s="93"/>
      <c r="J73" s="209"/>
      <c r="K73" s="93"/>
      <c r="L73" s="93"/>
      <c r="M73" s="93"/>
      <c r="N73" s="209"/>
      <c r="O73" s="93"/>
      <c r="P73" s="93"/>
      <c r="Q73" s="93"/>
    </row>
    <row r="74" spans="2:17" hidden="1" outlineLevel="1">
      <c r="B74" s="140"/>
      <c r="C74" s="93"/>
      <c r="D74" s="93"/>
      <c r="E74" s="93"/>
      <c r="F74" s="93"/>
      <c r="G74" s="93"/>
      <c r="H74" s="93"/>
      <c r="I74" s="93"/>
      <c r="J74" s="209"/>
      <c r="K74" s="93"/>
      <c r="L74" s="93"/>
      <c r="M74" s="93"/>
      <c r="N74" s="209"/>
      <c r="O74" s="93"/>
      <c r="P74" s="93"/>
      <c r="Q74" s="93"/>
    </row>
    <row r="75" spans="2:17" hidden="1" outlineLevel="1">
      <c r="B75" s="140"/>
      <c r="C75" s="93"/>
      <c r="D75" s="93"/>
      <c r="E75" s="93"/>
      <c r="F75" s="93"/>
      <c r="G75" s="93"/>
      <c r="H75" s="93"/>
      <c r="I75" s="93"/>
      <c r="J75" s="209"/>
      <c r="K75" s="93"/>
      <c r="L75" s="93"/>
      <c r="M75" s="93"/>
      <c r="N75" s="209"/>
      <c r="O75" s="93"/>
      <c r="P75" s="93"/>
      <c r="Q75" s="93"/>
    </row>
    <row r="76" spans="2:17" hidden="1" outlineLevel="1">
      <c r="B76" s="140"/>
      <c r="C76" s="93"/>
      <c r="D76" s="93"/>
      <c r="E76" s="93"/>
      <c r="F76" s="93"/>
      <c r="G76" s="93"/>
      <c r="H76" s="93"/>
      <c r="I76" s="93"/>
      <c r="J76" s="209"/>
      <c r="K76" s="93"/>
      <c r="L76" s="93"/>
      <c r="M76" s="93"/>
      <c r="N76" s="209"/>
      <c r="O76" s="93"/>
      <c r="P76" s="93"/>
      <c r="Q76" s="93"/>
    </row>
    <row r="77" spans="2:17" hidden="1" outlineLevel="1">
      <c r="B77" s="140"/>
      <c r="C77" s="93"/>
      <c r="D77" s="93"/>
      <c r="E77" s="93"/>
      <c r="F77" s="93"/>
      <c r="G77" s="93"/>
      <c r="H77" s="93"/>
      <c r="I77" s="93"/>
      <c r="J77" s="209"/>
      <c r="K77" s="93"/>
      <c r="L77" s="93"/>
      <c r="M77" s="93"/>
      <c r="N77" s="209"/>
      <c r="O77" s="93"/>
      <c r="P77" s="93"/>
      <c r="Q77" s="93"/>
    </row>
    <row r="78" spans="2:17" hidden="1" outlineLevel="1">
      <c r="B78" s="140"/>
      <c r="C78" s="93"/>
      <c r="D78" s="93"/>
      <c r="E78" s="93"/>
      <c r="F78" s="93"/>
      <c r="G78" s="93"/>
      <c r="H78" s="93"/>
      <c r="I78" s="93"/>
      <c r="J78" s="209"/>
      <c r="K78" s="93"/>
      <c r="L78" s="93"/>
      <c r="M78" s="93"/>
      <c r="N78" s="209"/>
      <c r="O78" s="93"/>
      <c r="P78" s="93"/>
      <c r="Q78" s="93"/>
    </row>
    <row r="79" spans="2:17" hidden="1" outlineLevel="1">
      <c r="B79" s="140"/>
      <c r="C79" s="93"/>
      <c r="D79" s="93"/>
      <c r="E79" s="93"/>
      <c r="F79" s="93"/>
      <c r="G79" s="93"/>
      <c r="H79" s="93"/>
      <c r="I79" s="93"/>
      <c r="J79" s="209"/>
      <c r="K79" s="93"/>
      <c r="L79" s="93"/>
      <c r="M79" s="93"/>
      <c r="N79" s="209"/>
      <c r="O79" s="93"/>
      <c r="P79" s="93"/>
      <c r="Q79" s="93"/>
    </row>
    <row r="80" spans="2:17" hidden="1" outlineLevel="1">
      <c r="B80" s="140"/>
      <c r="C80" s="93"/>
      <c r="D80" s="93"/>
      <c r="E80" s="93"/>
      <c r="F80" s="93"/>
      <c r="G80" s="93"/>
      <c r="H80" s="93"/>
      <c r="I80" s="93"/>
      <c r="J80" s="209"/>
      <c r="K80" s="93"/>
      <c r="L80" s="93"/>
      <c r="M80" s="93"/>
      <c r="N80" s="209"/>
      <c r="O80" s="93"/>
      <c r="P80" s="93"/>
      <c r="Q80" s="93"/>
    </row>
    <row r="81" spans="2:17" hidden="1" outlineLevel="1">
      <c r="B81" s="140"/>
      <c r="C81" s="93"/>
      <c r="D81" s="93"/>
      <c r="E81" s="93"/>
      <c r="F81" s="93"/>
      <c r="G81" s="93"/>
      <c r="H81" s="93"/>
      <c r="I81" s="93"/>
      <c r="J81" s="209"/>
      <c r="K81" s="93"/>
      <c r="L81" s="93"/>
      <c r="M81" s="93"/>
      <c r="N81" s="209"/>
      <c r="O81" s="93"/>
      <c r="P81" s="93"/>
      <c r="Q81" s="93"/>
    </row>
    <row r="82" spans="2:17" hidden="1" outlineLevel="1">
      <c r="B82" s="140"/>
      <c r="C82" s="93"/>
      <c r="D82" s="93"/>
      <c r="E82" s="93"/>
      <c r="F82" s="93"/>
      <c r="G82" s="93"/>
      <c r="H82" s="93"/>
      <c r="I82" s="93"/>
      <c r="J82" s="209"/>
      <c r="K82" s="93"/>
      <c r="L82" s="93"/>
      <c r="M82" s="93"/>
      <c r="N82" s="209"/>
      <c r="O82" s="93"/>
      <c r="P82" s="93"/>
      <c r="Q82" s="93"/>
    </row>
    <row r="83" spans="2:17" hidden="1" outlineLevel="1">
      <c r="B83" s="93"/>
      <c r="C83" s="93"/>
      <c r="D83" s="93"/>
      <c r="E83" s="93"/>
      <c r="F83" s="93"/>
      <c r="G83" s="93"/>
      <c r="H83" s="93"/>
      <c r="I83" s="93"/>
      <c r="J83" s="209"/>
      <c r="K83" s="93"/>
      <c r="L83" s="93"/>
      <c r="M83" s="93"/>
      <c r="N83" s="209"/>
      <c r="O83" s="93"/>
      <c r="P83" s="93"/>
      <c r="Q83" s="93"/>
    </row>
    <row r="84" spans="2:17" hidden="1" outlineLevel="1">
      <c r="B84" s="93"/>
      <c r="C84" s="93"/>
      <c r="D84" s="93"/>
      <c r="E84" s="93"/>
      <c r="F84" s="93"/>
      <c r="G84" s="93"/>
      <c r="H84" s="93"/>
      <c r="I84" s="93"/>
      <c r="J84" s="209"/>
      <c r="K84" s="93"/>
      <c r="L84" s="93"/>
      <c r="M84" s="93"/>
      <c r="N84" s="209"/>
      <c r="O84" s="93"/>
      <c r="P84" s="93"/>
      <c r="Q84" s="93"/>
    </row>
    <row r="85" spans="2:17" hidden="1" outlineLevel="1">
      <c r="B85" s="93"/>
      <c r="C85" s="93"/>
      <c r="D85" s="93"/>
      <c r="E85" s="93"/>
      <c r="F85" s="93"/>
      <c r="G85" s="93"/>
      <c r="H85" s="93"/>
      <c r="I85" s="93"/>
      <c r="J85" s="209"/>
      <c r="K85" s="93"/>
      <c r="L85" s="93"/>
      <c r="M85" s="93"/>
      <c r="N85" s="209"/>
      <c r="O85" s="93"/>
      <c r="P85" s="93"/>
      <c r="Q85" s="93"/>
    </row>
    <row r="86" spans="2:17" hidden="1" outlineLevel="1">
      <c r="B86" s="93"/>
      <c r="C86" s="93"/>
      <c r="D86" s="93"/>
      <c r="E86" s="93"/>
      <c r="F86" s="93"/>
      <c r="G86" s="93"/>
      <c r="H86" s="93"/>
      <c r="I86" s="93"/>
      <c r="J86" s="209"/>
      <c r="K86" s="93"/>
      <c r="L86" s="93"/>
      <c r="M86" s="93"/>
      <c r="N86" s="209"/>
      <c r="O86" s="93"/>
      <c r="P86" s="93"/>
      <c r="Q86" s="93"/>
    </row>
    <row r="87" spans="2:17" hidden="1" outlineLevel="1">
      <c r="B87" s="93"/>
      <c r="C87" s="93"/>
      <c r="D87" s="93"/>
      <c r="E87" s="93"/>
      <c r="F87" s="93"/>
      <c r="G87" s="93"/>
      <c r="H87" s="93"/>
      <c r="I87" s="93"/>
      <c r="J87" s="209"/>
      <c r="K87" s="93"/>
      <c r="L87" s="93"/>
      <c r="M87" s="93"/>
      <c r="N87" s="209"/>
      <c r="O87" s="93"/>
      <c r="P87" s="93"/>
      <c r="Q87" s="93"/>
    </row>
    <row r="88" spans="2:17" hidden="1" outlineLevel="1">
      <c r="B88" s="93"/>
      <c r="C88" s="93"/>
      <c r="D88" s="93"/>
      <c r="E88" s="93"/>
      <c r="F88" s="93"/>
      <c r="G88" s="93"/>
      <c r="H88" s="93"/>
      <c r="I88" s="93"/>
      <c r="J88" s="209"/>
      <c r="K88" s="93"/>
      <c r="L88" s="93"/>
      <c r="M88" s="93"/>
      <c r="N88" s="209"/>
      <c r="O88" s="93"/>
      <c r="P88" s="93"/>
      <c r="Q88" s="93"/>
    </row>
    <row r="89" spans="2:17" hidden="1" outlineLevel="1">
      <c r="B89" s="93"/>
      <c r="C89" s="93"/>
      <c r="D89" s="93"/>
      <c r="E89" s="93"/>
      <c r="F89" s="93"/>
      <c r="G89" s="93"/>
      <c r="H89" s="93"/>
      <c r="I89" s="93"/>
      <c r="J89" s="209"/>
      <c r="K89" s="93"/>
      <c r="L89" s="93"/>
      <c r="M89" s="93"/>
      <c r="N89" s="209"/>
      <c r="O89" s="93"/>
      <c r="P89" s="93"/>
      <c r="Q89" s="93"/>
    </row>
    <row r="90" spans="2:17" hidden="1" outlineLevel="1">
      <c r="B90" s="93"/>
      <c r="C90" s="93"/>
      <c r="D90" s="93"/>
      <c r="E90" s="93"/>
      <c r="F90" s="93"/>
      <c r="G90" s="93"/>
      <c r="H90" s="93"/>
      <c r="I90" s="93"/>
      <c r="J90" s="209"/>
      <c r="K90" s="93"/>
      <c r="L90" s="93"/>
      <c r="M90" s="93"/>
      <c r="N90" s="209"/>
      <c r="O90" s="93"/>
      <c r="P90" s="93"/>
      <c r="Q90" s="93"/>
    </row>
    <row r="91" spans="2:17" collapsed="1"/>
    <row r="92" spans="2:17" ht="15.9">
      <c r="B92" s="170" t="s">
        <v>305</v>
      </c>
    </row>
    <row r="93" spans="2:17">
      <c r="B93" t="s">
        <v>224</v>
      </c>
      <c r="C93" t="s">
        <v>306</v>
      </c>
      <c r="D93" t="s">
        <v>307</v>
      </c>
      <c r="E93" t="s">
        <v>265</v>
      </c>
      <c r="F93" t="s">
        <v>308</v>
      </c>
      <c r="G93" t="s">
        <v>256</v>
      </c>
    </row>
    <row r="94" spans="2:17" hidden="1" outlineLevel="1">
      <c r="D94" s="112"/>
      <c r="E94" s="218"/>
    </row>
    <row r="95" spans="2:17" hidden="1" outlineLevel="1">
      <c r="D95" s="112"/>
      <c r="E95" s="218"/>
    </row>
    <row r="96" spans="2:17" hidden="1" outlineLevel="1">
      <c r="D96" s="112"/>
      <c r="E96" s="218"/>
    </row>
    <row r="97" spans="2:7" hidden="1" outlineLevel="1">
      <c r="D97" s="112"/>
      <c r="E97" s="218"/>
    </row>
    <row r="98" spans="2:7" hidden="1" outlineLevel="1">
      <c r="D98" s="112"/>
    </row>
    <row r="99" spans="2:7" hidden="1" outlineLevel="1">
      <c r="D99" s="112"/>
    </row>
    <row r="100" spans="2:7" collapsed="1"/>
    <row r="101" spans="2:7" ht="15.9">
      <c r="B101" s="170" t="s">
        <v>309</v>
      </c>
    </row>
    <row r="102" spans="2:7">
      <c r="B102" t="s">
        <v>310</v>
      </c>
      <c r="C102" t="s">
        <v>311</v>
      </c>
      <c r="D102" t="s">
        <v>312</v>
      </c>
      <c r="E102" t="s">
        <v>313</v>
      </c>
      <c r="F102" t="s">
        <v>314</v>
      </c>
      <c r="G102" t="s">
        <v>315</v>
      </c>
    </row>
    <row r="103" spans="2:7" hidden="1" outlineLevel="1">
      <c r="G103">
        <f>Table791345[[#This Row],[Purchase Price]]-Table791345[[#This Row],[Sale Price]]</f>
        <v>0</v>
      </c>
    </row>
    <row r="104" spans="2:7" hidden="1" outlineLevel="1">
      <c r="G104">
        <f>Table791345[[#This Row],[Purchase Price]]-Table791345[[#This Row],[Sale Price]]</f>
        <v>0</v>
      </c>
    </row>
    <row r="105" spans="2:7" hidden="1" outlineLevel="1">
      <c r="G105">
        <f>Table791345[[#This Row],[Purchase Price]]-Table791345[[#This Row],[Sale Price]]</f>
        <v>0</v>
      </c>
    </row>
    <row r="106" spans="2:7" hidden="1" outlineLevel="1">
      <c r="G106">
        <f>Table791345[[#This Row],[Purchase Price]]-Table791345[[#This Row],[Sale Price]]</f>
        <v>0</v>
      </c>
    </row>
    <row r="107" spans="2:7" hidden="1" outlineLevel="1">
      <c r="G107">
        <f>Table791345[[#This Row],[Purchase Price]]-Table791345[[#This Row],[Sale Price]]</f>
        <v>0</v>
      </c>
    </row>
    <row r="108" spans="2:7" hidden="1" outlineLevel="1">
      <c r="G108">
        <f>Table791345[[#This Row],[Purchase Price]]-Table791345[[#This Row],[Sale Price]]</f>
        <v>0</v>
      </c>
    </row>
    <row r="109" spans="2:7" hidden="1" outlineLevel="1">
      <c r="G109">
        <f>Table791345[[#This Row],[Purchase Price]]-Table791345[[#This Row],[Sale Price]]</f>
        <v>0</v>
      </c>
    </row>
    <row r="110" spans="2:7" hidden="1" outlineLevel="1">
      <c r="G110">
        <f>Table791345[[#This Row],[Purchase Price]]-Table791345[[#This Row],[Sale Price]]</f>
        <v>0</v>
      </c>
    </row>
    <row r="111" spans="2:7" hidden="1" outlineLevel="1">
      <c r="G111">
        <f>Table791345[[#This Row],[Purchase Price]]-Table791345[[#This Row],[Sale Price]]</f>
        <v>0</v>
      </c>
    </row>
    <row r="112" spans="2:7" hidden="1" outlineLevel="1">
      <c r="G112">
        <f>Table791345[[#This Row],[Purchase Price]]-Table791345[[#This Row],[Sale Price]]</f>
        <v>0</v>
      </c>
    </row>
    <row r="113" spans="7:7" hidden="1" outlineLevel="1">
      <c r="G113">
        <f>Table791345[[#This Row],[Purchase Price]]-Table791345[[#This Row],[Sale Price]]</f>
        <v>0</v>
      </c>
    </row>
    <row r="114" spans="7:7" hidden="1" outlineLevel="1">
      <c r="G114">
        <f>Table791345[[#This Row],[Purchase Price]]-Table791345[[#This Row],[Sale Price]]</f>
        <v>0</v>
      </c>
    </row>
    <row r="115" spans="7:7" hidden="1" outlineLevel="1">
      <c r="G115">
        <f>Table791345[[#This Row],[Purchase Price]]-Table791345[[#This Row],[Sale Price]]</f>
        <v>0</v>
      </c>
    </row>
    <row r="116" spans="7:7" hidden="1" outlineLevel="1">
      <c r="G116">
        <f>Table791345[[#This Row],[Purchase Price]]-Table791345[[#This Row],[Sale Price]]</f>
        <v>0</v>
      </c>
    </row>
    <row r="117" spans="7:7" hidden="1" outlineLevel="1">
      <c r="G117">
        <f>Table791345[[#This Row],[Purchase Price]]-Table791345[[#This Row],[Sale Price]]</f>
        <v>0</v>
      </c>
    </row>
    <row r="118" spans="7:7" hidden="1" outlineLevel="1">
      <c r="G118">
        <f>Table791345[[#This Row],[Purchase Price]]-Table791345[[#This Row],[Sale Price]]</f>
        <v>0</v>
      </c>
    </row>
    <row r="119" spans="7:7" hidden="1" outlineLevel="1">
      <c r="G119">
        <f>Table791345[[#This Row],[Purchase Price]]-Table791345[[#This Row],[Sale Price]]</f>
        <v>0</v>
      </c>
    </row>
    <row r="120" spans="7:7" hidden="1" outlineLevel="1">
      <c r="G120">
        <f>Table791345[[#This Row],[Purchase Price]]-Table791345[[#This Row],[Sale Price]]</f>
        <v>0</v>
      </c>
    </row>
    <row r="121" spans="7:7" collapsed="1"/>
  </sheetData>
  <mergeCells count="8">
    <mergeCell ref="C16:D16"/>
    <mergeCell ref="B3:H3"/>
    <mergeCell ref="G5:H5"/>
    <mergeCell ref="C6:D6"/>
    <mergeCell ref="G11:H11"/>
    <mergeCell ref="C14:D14"/>
    <mergeCell ref="C15:D15"/>
    <mergeCell ref="G15:H15"/>
  </mergeCells>
  <hyperlinks>
    <hyperlink ref="B1" location="'All Companies'!A1" display="All Companies" xr:uid="{300D2BC1-9411-B54E-9FDD-6E9A7124F1A0}"/>
    <hyperlink ref="C24" r:id="rId1" display="../../../../:f:/g/personal/robert_tekna_com_au/Eo6F_lWzhNhHoFvnUCl8mGsBlTRUM99Mv3AAQmM9bzmaXg?e=Q4QJKE" xr:uid="{CF615F4F-C111-9743-AB19-621E51C85C6D}"/>
  </hyperlinks>
  <pageMargins left="0.7" right="0.7" top="0.75" bottom="0.75" header="0.3" footer="0.3"/>
  <tableParts count="4">
    <tablePart r:id="rId2"/>
    <tablePart r:id="rId3"/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77450DA-A617-4B41-B98A-CB5000E7D91A}">
          <x14:formula1>
            <xm:f>'Document Type'!$B$49:$B$51</xm:f>
          </x14:formula1>
          <xm:sqref>C10:C11</xm:sqref>
        </x14:dataValidation>
        <x14:dataValidation type="list" allowBlank="1" showInputMessage="1" showErrorMessage="1" xr:uid="{DE08D807-2796-44AE-9106-414AA5C9594D}">
          <x14:formula1>
            <xm:f>'Document Type'!$B$38:$B$39</xm:f>
          </x14:formula1>
          <xm:sqref>G13 C13</xm:sqref>
        </x14:dataValidation>
        <x14:dataValidation type="list" allowBlank="1" showInputMessage="1" showErrorMessage="1" xr:uid="{64785C5D-FF7C-744F-AFBD-7E028C79710F}">
          <x14:formula1>
            <xm:f>'Document Type'!$B$6:$B$34</xm:f>
          </x14:formula1>
          <xm:sqref>C27:C61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E9AF-2873-48A9-9B76-629859D4DFE7}">
  <dimension ref="B1:R122"/>
  <sheetViews>
    <sheetView workbookViewId="0">
      <selection activeCell="B4" sqref="B4"/>
    </sheetView>
  </sheetViews>
  <sheetFormatPr defaultColWidth="8.69140625" defaultRowHeight="14.6" outlineLevelRow="1"/>
  <cols>
    <col min="1" max="1" width="0.4609375" customWidth="1"/>
    <col min="2" max="2" width="38.3046875" bestFit="1" customWidth="1"/>
    <col min="3" max="3" width="42.69140625" bestFit="1" customWidth="1"/>
    <col min="4" max="4" width="29.15234375" customWidth="1"/>
    <col min="5" max="5" width="18.3046875" bestFit="1" customWidth="1"/>
    <col min="6" max="6" width="28.15234375" bestFit="1" customWidth="1"/>
    <col min="7" max="7" width="46.69140625" bestFit="1" customWidth="1"/>
    <col min="8" max="8" width="36.3046875" bestFit="1" customWidth="1"/>
    <col min="9" max="9" width="17.3046875" bestFit="1" customWidth="1"/>
    <col min="10" max="10" width="15.4609375" bestFit="1" customWidth="1"/>
    <col min="11" max="11" width="76.3046875" bestFit="1" customWidth="1"/>
    <col min="12" max="12" width="25.3046875" bestFit="1" customWidth="1"/>
  </cols>
  <sheetData>
    <row r="1" spans="2:12">
      <c r="B1" s="69" t="s">
        <v>195</v>
      </c>
    </row>
    <row r="2" spans="2:12" ht="15" thickBot="1">
      <c r="J2" t="s">
        <v>196</v>
      </c>
      <c r="K2" t="s">
        <v>197</v>
      </c>
      <c r="L2">
        <v>2024</v>
      </c>
    </row>
    <row r="3" spans="2:12" ht="26.6" thickBot="1">
      <c r="B3" s="373" t="s">
        <v>650</v>
      </c>
      <c r="C3" s="374"/>
      <c r="D3" s="374"/>
      <c r="E3" s="374"/>
      <c r="F3" s="374"/>
      <c r="G3" s="374"/>
      <c r="H3" s="375"/>
      <c r="J3" t="s">
        <v>199</v>
      </c>
      <c r="K3" t="s">
        <v>200</v>
      </c>
    </row>
    <row r="4" spans="2:12" ht="17.8" customHeight="1">
      <c r="B4" s="245" t="s">
        <v>201</v>
      </c>
      <c r="C4" s="93">
        <v>677065137</v>
      </c>
      <c r="D4" s="246" t="s">
        <v>202</v>
      </c>
      <c r="G4" s="246" t="s">
        <v>203</v>
      </c>
      <c r="J4" t="s">
        <v>204</v>
      </c>
      <c r="K4" t="s">
        <v>205</v>
      </c>
    </row>
    <row r="5" spans="2:12">
      <c r="B5" s="250" t="s">
        <v>206</v>
      </c>
      <c r="C5" s="236">
        <v>45415</v>
      </c>
      <c r="D5" s="262"/>
      <c r="E5" s="235"/>
      <c r="F5" s="247" t="s">
        <v>207</v>
      </c>
      <c r="G5" s="377">
        <v>100</v>
      </c>
      <c r="H5" s="385"/>
      <c r="J5" t="s">
        <v>208</v>
      </c>
      <c r="K5" t="s">
        <v>209</v>
      </c>
    </row>
    <row r="6" spans="2:12">
      <c r="B6" s="251" t="s">
        <v>210</v>
      </c>
      <c r="C6" s="376" t="s">
        <v>695</v>
      </c>
      <c r="D6" s="376"/>
      <c r="E6" s="233"/>
      <c r="F6" s="248" t="s">
        <v>211</v>
      </c>
      <c r="G6" s="232" t="s">
        <v>237</v>
      </c>
      <c r="H6" s="243"/>
      <c r="J6" t="s">
        <v>213</v>
      </c>
      <c r="K6" t="s">
        <v>214</v>
      </c>
    </row>
    <row r="7" spans="2:12">
      <c r="B7" s="250" t="s">
        <v>215</v>
      </c>
      <c r="C7" s="237" t="s">
        <v>687</v>
      </c>
      <c r="D7" s="235"/>
      <c r="E7" s="238"/>
      <c r="F7" s="235"/>
      <c r="G7" s="235"/>
      <c r="H7" s="244"/>
      <c r="J7" t="s">
        <v>216</v>
      </c>
      <c r="K7" t="s">
        <v>217</v>
      </c>
    </row>
    <row r="8" spans="2:12">
      <c r="B8" s="249" t="s">
        <v>218</v>
      </c>
      <c r="C8" s="232" t="s">
        <v>689</v>
      </c>
      <c r="D8" s="233"/>
      <c r="E8" s="234"/>
      <c r="F8" s="248" t="s">
        <v>220</v>
      </c>
      <c r="G8" s="232" t="s">
        <v>689</v>
      </c>
      <c r="H8" s="243"/>
      <c r="J8" t="s">
        <v>222</v>
      </c>
      <c r="K8" t="s">
        <v>223</v>
      </c>
    </row>
    <row r="9" spans="2:12">
      <c r="B9" s="239"/>
      <c r="C9" s="235"/>
      <c r="D9" s="237" t="s">
        <v>224</v>
      </c>
      <c r="E9" s="238"/>
      <c r="F9" s="235"/>
      <c r="G9" s="235"/>
      <c r="H9" s="244"/>
      <c r="J9" t="s">
        <v>225</v>
      </c>
      <c r="K9" t="s">
        <v>226</v>
      </c>
    </row>
    <row r="10" spans="2:12">
      <c r="B10" s="249" t="s">
        <v>227</v>
      </c>
      <c r="C10" s="277" t="s">
        <v>690</v>
      </c>
      <c r="D10" s="252">
        <v>45415</v>
      </c>
      <c r="E10" s="233"/>
      <c r="F10" s="233"/>
      <c r="G10" s="233"/>
      <c r="H10" s="243"/>
      <c r="J10" t="s">
        <v>229</v>
      </c>
      <c r="K10" t="s">
        <v>230</v>
      </c>
    </row>
    <row r="11" spans="2:12">
      <c r="B11" s="250" t="s">
        <v>231</v>
      </c>
      <c r="C11" s="288" t="s">
        <v>690</v>
      </c>
      <c r="D11" s="236">
        <v>45415</v>
      </c>
      <c r="E11" s="235"/>
      <c r="F11" s="235"/>
      <c r="G11" s="235"/>
      <c r="H11" s="235"/>
      <c r="J11" t="s">
        <v>232</v>
      </c>
      <c r="K11" t="s">
        <v>233</v>
      </c>
    </row>
    <row r="12" spans="2:12">
      <c r="B12" s="240"/>
      <c r="C12" s="233"/>
      <c r="D12" s="233"/>
      <c r="E12" s="234"/>
      <c r="F12" s="233"/>
      <c r="G12" s="233"/>
      <c r="H12" s="243"/>
      <c r="J12" t="s">
        <v>234</v>
      </c>
      <c r="K12" t="s">
        <v>235</v>
      </c>
    </row>
    <row r="13" spans="2:12">
      <c r="B13" s="250" t="s">
        <v>236</v>
      </c>
      <c r="C13" s="237" t="s">
        <v>212</v>
      </c>
      <c r="D13" s="237"/>
      <c r="E13" s="235"/>
      <c r="F13" s="247" t="s">
        <v>238</v>
      </c>
      <c r="G13" s="237" t="s">
        <v>212</v>
      </c>
      <c r="H13" s="241"/>
      <c r="J13" t="s">
        <v>239</v>
      </c>
    </row>
    <row r="14" spans="2:12">
      <c r="B14" s="242"/>
      <c r="C14" s="376"/>
      <c r="D14" s="376"/>
      <c r="E14" s="275" t="s">
        <v>240</v>
      </c>
      <c r="F14" s="248" t="s">
        <v>241</v>
      </c>
      <c r="G14" s="233"/>
      <c r="H14" s="243"/>
      <c r="J14" t="s">
        <v>242</v>
      </c>
    </row>
    <row r="15" spans="2:12">
      <c r="B15" s="250" t="s">
        <v>243</v>
      </c>
      <c r="C15" s="377" t="s">
        <v>690</v>
      </c>
      <c r="D15" s="377">
        <v>100</v>
      </c>
      <c r="E15" s="237">
        <v>100</v>
      </c>
      <c r="F15" s="237" t="s">
        <v>237</v>
      </c>
      <c r="G15" s="235"/>
      <c r="H15" s="235"/>
      <c r="J15" t="s">
        <v>245</v>
      </c>
    </row>
    <row r="16" spans="2:12">
      <c r="B16" s="242"/>
      <c r="C16" s="376"/>
      <c r="D16" s="376"/>
      <c r="E16" s="232"/>
      <c r="F16" s="233"/>
      <c r="G16" s="233"/>
      <c r="H16" s="243"/>
      <c r="J16" t="s">
        <v>246</v>
      </c>
    </row>
    <row r="17" spans="2:11">
      <c r="B17" s="250" t="s">
        <v>247</v>
      </c>
      <c r="C17" s="247" t="s">
        <v>248</v>
      </c>
      <c r="D17" s="247" t="s">
        <v>82</v>
      </c>
      <c r="E17" s="300" t="s">
        <v>83</v>
      </c>
      <c r="F17" s="274" t="s">
        <v>249</v>
      </c>
      <c r="G17" s="235"/>
      <c r="H17" s="244"/>
      <c r="J17" t="s">
        <v>250</v>
      </c>
    </row>
    <row r="18" spans="2:11">
      <c r="B18" s="240"/>
      <c r="C18" s="233"/>
      <c r="D18" t="s">
        <v>1380</v>
      </c>
      <c r="E18" t="s">
        <v>1381</v>
      </c>
      <c r="F18" s="233"/>
      <c r="G18" s="233"/>
      <c r="H18" s="243"/>
      <c r="J18" t="s">
        <v>253</v>
      </c>
    </row>
    <row r="19" spans="2:11">
      <c r="B19" s="239"/>
      <c r="C19" s="235"/>
      <c r="D19" s="235"/>
      <c r="E19" s="236"/>
      <c r="F19" s="235"/>
      <c r="G19" s="235"/>
      <c r="H19" s="244"/>
      <c r="J19" t="s">
        <v>256</v>
      </c>
    </row>
    <row r="20" spans="2:11">
      <c r="B20" s="240"/>
      <c r="C20" s="233"/>
      <c r="D20" s="233"/>
      <c r="E20" s="252"/>
      <c r="F20" s="233"/>
      <c r="G20" s="233"/>
      <c r="H20" s="243"/>
      <c r="J20" t="s">
        <v>257</v>
      </c>
    </row>
    <row r="21" spans="2:11">
      <c r="B21" s="239"/>
      <c r="C21" s="235"/>
      <c r="D21" s="235"/>
      <c r="E21" s="236"/>
      <c r="F21" s="235"/>
      <c r="G21" s="235"/>
      <c r="H21" s="244"/>
      <c r="J21" t="s">
        <v>258</v>
      </c>
    </row>
    <row r="22" spans="2:11">
      <c r="B22" s="240"/>
      <c r="C22" s="233"/>
      <c r="D22" s="233"/>
      <c r="E22" s="252"/>
      <c r="F22" s="233"/>
      <c r="G22" s="233"/>
      <c r="H22" s="243"/>
    </row>
    <row r="24" spans="2:11">
      <c r="B24" t="s">
        <v>259</v>
      </c>
      <c r="C24" s="69" t="s">
        <v>602</v>
      </c>
      <c r="D24" t="s">
        <v>260</v>
      </c>
      <c r="E24" t="s">
        <v>696</v>
      </c>
    </row>
    <row r="26" spans="2:11" ht="15.9">
      <c r="B26" s="170" t="s">
        <v>262</v>
      </c>
      <c r="C26" s="170" t="s">
        <v>263</v>
      </c>
      <c r="D26" s="170" t="s">
        <v>264</v>
      </c>
      <c r="E26" s="170" t="s">
        <v>265</v>
      </c>
      <c r="F26" s="170" t="s">
        <v>266</v>
      </c>
      <c r="G26" s="170" t="s">
        <v>267</v>
      </c>
      <c r="H26" s="170" t="s">
        <v>268</v>
      </c>
      <c r="K26" s="170"/>
    </row>
    <row r="27" spans="2:11" outlineLevel="1">
      <c r="B27" s="14" t="s">
        <v>697</v>
      </c>
      <c r="C27" t="s">
        <v>204</v>
      </c>
      <c r="D27" t="str">
        <f>VLOOKUP(C27,'Document Type'!$B$6:$C$34,2,FALSE)</f>
        <v>Company Setup</v>
      </c>
      <c r="E27" s="218">
        <v>45415</v>
      </c>
      <c r="F27" s="253"/>
      <c r="G27" s="253" t="s">
        <v>698</v>
      </c>
      <c r="H27" t="s">
        <v>148</v>
      </c>
      <c r="K27" s="253"/>
    </row>
    <row r="28" spans="2:11" outlineLevel="1">
      <c r="B28" t="s">
        <v>699</v>
      </c>
      <c r="C28" t="s">
        <v>216</v>
      </c>
      <c r="D28" t="str">
        <f>VLOOKUP(C28,'Document Type'!$B$6:$C$34,2,FALSE)</f>
        <v>Register of Members</v>
      </c>
      <c r="E28" s="218">
        <v>45415</v>
      </c>
      <c r="F28" s="253"/>
      <c r="G28" s="253" t="s">
        <v>700</v>
      </c>
      <c r="H28" t="s">
        <v>148</v>
      </c>
      <c r="K28" s="253"/>
    </row>
    <row r="29" spans="2:11" outlineLevel="1">
      <c r="B29" t="s">
        <v>701</v>
      </c>
      <c r="C29" t="s">
        <v>213</v>
      </c>
      <c r="D29" t="str">
        <f>VLOOKUP(C29,'Document Type'!$B$6:$C$34,2,FALSE)</f>
        <v>Constitution</v>
      </c>
      <c r="E29" s="218">
        <v>45415</v>
      </c>
      <c r="F29" s="253"/>
      <c r="G29" s="261" t="s">
        <v>702</v>
      </c>
      <c r="H29" t="s">
        <v>148</v>
      </c>
      <c r="K29" s="253"/>
    </row>
    <row r="30" spans="2:11" outlineLevel="1">
      <c r="B30" t="s">
        <v>282</v>
      </c>
      <c r="C30" t="s">
        <v>216</v>
      </c>
      <c r="D30" t="str">
        <f>VLOOKUP(C30,'Document Type'!$B$6:$C$34,2,FALSE)</f>
        <v>Register of Members</v>
      </c>
      <c r="E30" s="218">
        <v>45415</v>
      </c>
      <c r="F30" s="253"/>
      <c r="G30" s="253" t="s">
        <v>703</v>
      </c>
      <c r="H30" t="s">
        <v>148</v>
      </c>
      <c r="K30" s="253"/>
    </row>
    <row r="31" spans="2:11" outlineLevel="1">
      <c r="B31" t="s">
        <v>270</v>
      </c>
      <c r="C31" t="s">
        <v>253</v>
      </c>
      <c r="D31" t="str">
        <f>VLOOKUP(C31,'Document Type'!$B$6:$C$34,2,FALSE)</f>
        <v>General</v>
      </c>
      <c r="E31" s="218">
        <v>45471</v>
      </c>
      <c r="F31" s="253"/>
      <c r="G31" s="253" t="s">
        <v>704</v>
      </c>
      <c r="H31" t="s">
        <v>148</v>
      </c>
    </row>
    <row r="32" spans="2:11" outlineLevel="1">
      <c r="B32" t="s">
        <v>1371</v>
      </c>
      <c r="C32" t="s">
        <v>245</v>
      </c>
      <c r="D32" t="str">
        <f>VLOOKUP(C32,'Document Type'!$B$6:$C$34,2,FALSE)</f>
        <v>General</v>
      </c>
      <c r="E32" s="218">
        <v>45884</v>
      </c>
      <c r="G32" t="s">
        <v>1382</v>
      </c>
      <c r="H32" t="s">
        <v>148</v>
      </c>
    </row>
    <row r="33" spans="2:8" outlineLevel="1">
      <c r="B33" t="s">
        <v>1371</v>
      </c>
      <c r="C33" t="s">
        <v>245</v>
      </c>
      <c r="D33" t="str">
        <f>VLOOKUP(C33,'Document Type'!$B$6:$C$34,2,FALSE)</f>
        <v>General</v>
      </c>
      <c r="E33" s="218">
        <v>45884</v>
      </c>
      <c r="G33" t="s">
        <v>1383</v>
      </c>
      <c r="H33" t="s">
        <v>148</v>
      </c>
    </row>
    <row r="34" spans="2:8" outlineLevel="1">
      <c r="B34" t="s">
        <v>1371</v>
      </c>
      <c r="C34" t="s">
        <v>245</v>
      </c>
      <c r="D34" t="str">
        <f>VLOOKUP(C34,'Document Type'!$B$6:$C$34,2,FALSE)</f>
        <v>General</v>
      </c>
      <c r="E34" s="218">
        <v>45884</v>
      </c>
      <c r="G34" t="s">
        <v>1384</v>
      </c>
      <c r="H34" t="s">
        <v>148</v>
      </c>
    </row>
    <row r="35" spans="2:8" outlineLevel="1">
      <c r="B35" t="s">
        <v>1371</v>
      </c>
      <c r="C35" t="s">
        <v>245</v>
      </c>
      <c r="D35" t="str">
        <f>VLOOKUP(C35,'Document Type'!$B$6:$C$34,2,FALSE)</f>
        <v>General</v>
      </c>
      <c r="E35" s="218">
        <v>45884</v>
      </c>
      <c r="G35" t="s">
        <v>1385</v>
      </c>
      <c r="H35" t="s">
        <v>148</v>
      </c>
    </row>
    <row r="36" spans="2:8" outlineLevel="1">
      <c r="B36" t="s">
        <v>1371</v>
      </c>
      <c r="C36" t="s">
        <v>245</v>
      </c>
      <c r="D36" t="str">
        <f>VLOOKUP(C36,'Document Type'!$B$6:$C$34,2,FALSE)</f>
        <v>General</v>
      </c>
      <c r="E36" s="218">
        <v>45884</v>
      </c>
      <c r="G36" t="s">
        <v>1386</v>
      </c>
      <c r="H36" t="s">
        <v>148</v>
      </c>
    </row>
    <row r="37" spans="2:8" outlineLevel="1">
      <c r="D37" t="e">
        <f>VLOOKUP(C37,'Document Type'!$B$6:$C$34,2,FALSE)</f>
        <v>#N/A</v>
      </c>
    </row>
    <row r="38" spans="2:8" outlineLevel="1">
      <c r="D38" t="e">
        <f>VLOOKUP(C38,'Document Type'!$B$6:$C$34,2,FALSE)</f>
        <v>#N/A</v>
      </c>
    </row>
    <row r="39" spans="2:8" outlineLevel="1">
      <c r="D39" t="e">
        <f>VLOOKUP(C39,'Document Type'!$B$6:$C$34,2,FALSE)</f>
        <v>#N/A</v>
      </c>
    </row>
    <row r="40" spans="2:8" outlineLevel="1">
      <c r="D40" t="e">
        <f>VLOOKUP(C40,'Document Type'!$B$6:$C$34,2,FALSE)</f>
        <v>#N/A</v>
      </c>
    </row>
    <row r="41" spans="2:8" outlineLevel="1">
      <c r="D41" t="e">
        <f>VLOOKUP(C41,'Document Type'!$B$6:$C$34,2,FALSE)</f>
        <v>#N/A</v>
      </c>
    </row>
    <row r="42" spans="2:8" outlineLevel="1">
      <c r="D42" t="e">
        <f>VLOOKUP(C42,'Document Type'!$B$6:$C$34,2,FALSE)</f>
        <v>#N/A</v>
      </c>
    </row>
    <row r="43" spans="2:8" outlineLevel="1">
      <c r="D43" t="e">
        <f>VLOOKUP(C43,'Document Type'!$B$6:$C$34,2,FALSE)</f>
        <v>#N/A</v>
      </c>
    </row>
    <row r="44" spans="2:8" outlineLevel="1">
      <c r="D44" t="e">
        <f>VLOOKUP(C44,'Document Type'!$B$6:$C$34,2,FALSE)</f>
        <v>#N/A</v>
      </c>
    </row>
    <row r="45" spans="2:8" outlineLevel="1">
      <c r="D45" t="e">
        <f>VLOOKUP(C45,'Document Type'!$B$6:$C$34,2,FALSE)</f>
        <v>#N/A</v>
      </c>
    </row>
    <row r="46" spans="2:8" outlineLevel="1">
      <c r="D46" t="e">
        <f>VLOOKUP(C46,'Document Type'!$B$6:$C$34,2,FALSE)</f>
        <v>#N/A</v>
      </c>
    </row>
    <row r="47" spans="2:8" outlineLevel="1">
      <c r="D47" t="e">
        <f>VLOOKUP(C47,'Document Type'!$B$6:$C$34,2,FALSE)</f>
        <v>#N/A</v>
      </c>
    </row>
    <row r="48" spans="2:8" outlineLevel="1">
      <c r="D48" t="e">
        <f>VLOOKUP(C48,'Document Type'!$B$6:$C$34,2,FALSE)</f>
        <v>#N/A</v>
      </c>
    </row>
    <row r="49" spans="2:4" outlineLevel="1">
      <c r="D49" t="e">
        <f>VLOOKUP(C49,'Document Type'!$B$6:$C$34,2,FALSE)</f>
        <v>#N/A</v>
      </c>
    </row>
    <row r="50" spans="2:4" outlineLevel="1">
      <c r="D50" t="e">
        <f>VLOOKUP(C50,'Document Type'!$B$6:$C$34,2,FALSE)</f>
        <v>#N/A</v>
      </c>
    </row>
    <row r="51" spans="2:4" outlineLevel="1">
      <c r="D51" t="e">
        <f>VLOOKUP(C51,'Document Type'!$B$6:$C$34,2,FALSE)</f>
        <v>#N/A</v>
      </c>
    </row>
    <row r="52" spans="2:4" outlineLevel="1">
      <c r="D52" t="e">
        <f>VLOOKUP(C52,'Document Type'!$B$6:$C$34,2,FALSE)</f>
        <v>#N/A</v>
      </c>
    </row>
    <row r="53" spans="2:4" outlineLevel="1">
      <c r="D53" t="e">
        <f>VLOOKUP(C53,'Document Type'!$B$6:$C$34,2,FALSE)</f>
        <v>#N/A</v>
      </c>
    </row>
    <row r="54" spans="2:4" outlineLevel="1">
      <c r="D54" t="e">
        <f>VLOOKUP(C54,'Document Type'!$B$6:$C$34,2,FALSE)</f>
        <v>#N/A</v>
      </c>
    </row>
    <row r="55" spans="2:4" outlineLevel="1">
      <c r="D55" t="e">
        <f>VLOOKUP(C55,'Document Type'!$B$6:$C$34,2,FALSE)</f>
        <v>#N/A</v>
      </c>
    </row>
    <row r="56" spans="2:4" outlineLevel="1">
      <c r="D56" t="e">
        <f>VLOOKUP(C56,'Document Type'!$B$6:$C$34,2,FALSE)</f>
        <v>#N/A</v>
      </c>
    </row>
    <row r="57" spans="2:4" outlineLevel="1">
      <c r="D57" t="e">
        <f>VLOOKUP(C57,'Document Type'!$B$6:$C$34,2,FALSE)</f>
        <v>#N/A</v>
      </c>
    </row>
    <row r="58" spans="2:4" outlineLevel="1">
      <c r="D58" t="e">
        <f>VLOOKUP(C58,'Document Type'!$B$6:$C$34,2,FALSE)</f>
        <v>#N/A</v>
      </c>
    </row>
    <row r="59" spans="2:4" outlineLevel="1">
      <c r="D59" t="e">
        <f>VLOOKUP(C59,'Document Type'!$B$6:$C$34,2,FALSE)</f>
        <v>#N/A</v>
      </c>
    </row>
    <row r="60" spans="2:4" outlineLevel="1">
      <c r="D60" t="e">
        <f>VLOOKUP(C60,'Document Type'!$B$6:$C$34,2,FALSE)</f>
        <v>#N/A</v>
      </c>
    </row>
    <row r="61" spans="2:4" outlineLevel="1">
      <c r="D61" t="e">
        <f>VLOOKUP(C61,'Document Type'!$B$6:$C$34,2,FALSE)</f>
        <v>#N/A</v>
      </c>
    </row>
    <row r="62" spans="2:4" outlineLevel="1"/>
    <row r="64" spans="2:4" ht="15.9">
      <c r="B64" s="170" t="s">
        <v>289</v>
      </c>
    </row>
    <row r="65" spans="2:18">
      <c r="B65" s="350" t="s">
        <v>265</v>
      </c>
      <c r="C65" s="350" t="s">
        <v>290</v>
      </c>
      <c r="D65" s="350" t="s">
        <v>291</v>
      </c>
      <c r="E65" s="351" t="s">
        <v>292</v>
      </c>
      <c r="F65" s="350" t="s">
        <v>293</v>
      </c>
      <c r="G65" s="350" t="s">
        <v>294</v>
      </c>
      <c r="H65" s="352" t="s">
        <v>295</v>
      </c>
      <c r="I65" s="353" t="s">
        <v>296</v>
      </c>
      <c r="J65" s="354" t="s">
        <v>297</v>
      </c>
      <c r="K65" s="199" t="s">
        <v>298</v>
      </c>
      <c r="L65" s="199" t="s">
        <v>299</v>
      </c>
      <c r="M65" s="199" t="s">
        <v>300</v>
      </c>
      <c r="N65" s="354" t="s">
        <v>301</v>
      </c>
      <c r="O65" s="199" t="s">
        <v>302</v>
      </c>
      <c r="P65" s="199" t="s">
        <v>303</v>
      </c>
      <c r="Q65" s="199" t="s">
        <v>304</v>
      </c>
      <c r="R65" s="199"/>
    </row>
    <row r="66" spans="2:18" hidden="1" outlineLevel="1">
      <c r="B66" s="140"/>
      <c r="C66" s="93"/>
      <c r="D66" s="93"/>
      <c r="E66" s="93"/>
      <c r="F66" s="93"/>
      <c r="G66" s="93"/>
      <c r="H66" s="93"/>
      <c r="I66" s="93"/>
      <c r="J66" s="209"/>
      <c r="K66" s="93"/>
      <c r="L66" s="93"/>
      <c r="M66" s="93"/>
      <c r="N66" s="209"/>
      <c r="O66" s="93"/>
      <c r="P66" s="93"/>
      <c r="Q66" s="93"/>
    </row>
    <row r="67" spans="2:18" hidden="1" outlineLevel="1">
      <c r="B67" s="140"/>
      <c r="C67" s="93"/>
      <c r="D67" s="93"/>
      <c r="E67" s="93"/>
      <c r="F67" s="93"/>
      <c r="G67" s="93"/>
      <c r="H67" s="93"/>
      <c r="I67" s="93"/>
      <c r="J67" s="209"/>
      <c r="K67" s="93"/>
      <c r="L67" s="93"/>
      <c r="M67" s="93"/>
      <c r="N67" s="209"/>
      <c r="O67" s="93"/>
      <c r="P67" s="93"/>
      <c r="Q67" s="93"/>
    </row>
    <row r="68" spans="2:18" hidden="1" outlineLevel="1">
      <c r="B68" s="140"/>
      <c r="C68" s="93"/>
      <c r="D68" s="93"/>
      <c r="E68" s="93"/>
      <c r="F68" s="93"/>
      <c r="G68" s="93"/>
      <c r="H68" s="93"/>
      <c r="I68" s="93"/>
      <c r="J68" s="209"/>
      <c r="K68" s="93"/>
      <c r="L68" s="93"/>
      <c r="M68" s="93"/>
      <c r="N68" s="209"/>
      <c r="O68" s="93"/>
      <c r="P68" s="93"/>
      <c r="Q68" s="93"/>
    </row>
    <row r="69" spans="2:18" hidden="1" outlineLevel="1">
      <c r="B69" s="140"/>
      <c r="C69" s="93"/>
      <c r="D69" s="93"/>
      <c r="E69" s="93"/>
      <c r="F69" s="93"/>
      <c r="G69" s="93"/>
      <c r="H69" s="93"/>
      <c r="I69" s="93"/>
      <c r="J69" s="209"/>
      <c r="K69" s="93"/>
      <c r="L69" s="93"/>
      <c r="M69" s="93"/>
      <c r="N69" s="209"/>
      <c r="O69" s="93"/>
      <c r="P69" s="93"/>
      <c r="Q69" s="93"/>
    </row>
    <row r="70" spans="2:18" hidden="1" outlineLevel="1">
      <c r="B70" s="140"/>
      <c r="C70" s="93"/>
      <c r="D70" s="93"/>
      <c r="E70" s="93"/>
      <c r="F70" s="93"/>
      <c r="G70" s="93"/>
      <c r="H70" s="93"/>
      <c r="I70" s="93"/>
      <c r="J70" s="209"/>
      <c r="K70" s="93"/>
      <c r="L70" s="93"/>
      <c r="M70" s="93"/>
      <c r="N70" s="209"/>
      <c r="O70" s="93"/>
      <c r="P70" s="93"/>
      <c r="Q70" s="93"/>
    </row>
    <row r="71" spans="2:18" hidden="1" outlineLevel="1">
      <c r="B71" s="140"/>
      <c r="C71" s="93"/>
      <c r="D71" s="93"/>
      <c r="E71" s="93"/>
      <c r="F71" s="93"/>
      <c r="G71" s="93"/>
      <c r="H71" s="93"/>
      <c r="I71" s="93"/>
      <c r="J71" s="209"/>
      <c r="K71" s="93"/>
      <c r="L71" s="93"/>
      <c r="M71" s="93"/>
      <c r="N71" s="209"/>
      <c r="O71" s="93"/>
      <c r="P71" s="93"/>
      <c r="Q71" s="93"/>
    </row>
    <row r="72" spans="2:18" hidden="1" outlineLevel="1">
      <c r="B72" s="140"/>
      <c r="C72" s="93"/>
      <c r="D72" s="93"/>
      <c r="E72" s="93"/>
      <c r="F72" s="93"/>
      <c r="G72" s="93"/>
      <c r="H72" s="93"/>
      <c r="I72" s="93"/>
      <c r="J72" s="209"/>
      <c r="K72" s="93"/>
      <c r="L72" s="93"/>
      <c r="M72" s="93"/>
      <c r="N72" s="209"/>
      <c r="O72" s="93"/>
      <c r="P72" s="93"/>
      <c r="Q72" s="93"/>
    </row>
    <row r="73" spans="2:18" hidden="1" outlineLevel="1">
      <c r="B73" s="140"/>
      <c r="C73" s="93"/>
      <c r="D73" s="93"/>
      <c r="E73" s="93"/>
      <c r="F73" s="93"/>
      <c r="G73" s="93"/>
      <c r="H73" s="93"/>
      <c r="I73" s="93"/>
      <c r="J73" s="209"/>
      <c r="K73" s="93"/>
      <c r="L73" s="93"/>
      <c r="M73" s="93"/>
      <c r="N73" s="209"/>
      <c r="O73" s="93"/>
      <c r="P73" s="93"/>
      <c r="Q73" s="93"/>
    </row>
    <row r="74" spans="2:18" hidden="1" outlineLevel="1">
      <c r="B74" s="140"/>
      <c r="C74" s="93"/>
      <c r="D74" s="93"/>
      <c r="E74" s="93"/>
      <c r="F74" s="93"/>
      <c r="G74" s="93"/>
      <c r="H74" s="93"/>
      <c r="I74" s="93"/>
      <c r="J74" s="209"/>
      <c r="K74" s="93"/>
      <c r="L74" s="93"/>
      <c r="M74" s="93"/>
      <c r="N74" s="209"/>
      <c r="O74" s="93"/>
      <c r="P74" s="93"/>
      <c r="Q74" s="93"/>
    </row>
    <row r="75" spans="2:18" hidden="1" outlineLevel="1">
      <c r="B75" s="140"/>
      <c r="C75" s="93"/>
      <c r="D75" s="93"/>
      <c r="E75" s="93"/>
      <c r="F75" s="93"/>
      <c r="G75" s="93"/>
      <c r="H75" s="93"/>
      <c r="I75" s="93"/>
      <c r="J75" s="209"/>
      <c r="K75" s="93"/>
      <c r="L75" s="93"/>
      <c r="M75" s="93"/>
      <c r="N75" s="209"/>
      <c r="O75" s="93"/>
      <c r="P75" s="93"/>
      <c r="Q75" s="93"/>
    </row>
    <row r="76" spans="2:18" hidden="1" outlineLevel="1">
      <c r="B76" s="140"/>
      <c r="C76" s="93"/>
      <c r="D76" s="93"/>
      <c r="E76" s="93"/>
      <c r="F76" s="93"/>
      <c r="G76" s="93"/>
      <c r="H76" s="93"/>
      <c r="I76" s="93"/>
      <c r="J76" s="209"/>
      <c r="K76" s="93"/>
      <c r="L76" s="93"/>
      <c r="M76" s="93"/>
      <c r="N76" s="209"/>
      <c r="O76" s="93"/>
      <c r="P76" s="93"/>
      <c r="Q76" s="93"/>
    </row>
    <row r="77" spans="2:18" hidden="1" outlineLevel="1">
      <c r="B77" s="140"/>
      <c r="C77" s="93"/>
      <c r="D77" s="93"/>
      <c r="E77" s="93"/>
      <c r="F77" s="93"/>
      <c r="G77" s="93"/>
      <c r="H77" s="93"/>
      <c r="I77" s="93"/>
      <c r="J77" s="209"/>
      <c r="K77" s="93"/>
      <c r="L77" s="93"/>
      <c r="M77" s="93"/>
      <c r="N77" s="209"/>
      <c r="O77" s="93"/>
      <c r="P77" s="93"/>
      <c r="Q77" s="93"/>
    </row>
    <row r="78" spans="2:18" hidden="1" outlineLevel="1">
      <c r="B78" s="140"/>
      <c r="C78" s="93"/>
      <c r="D78" s="93"/>
      <c r="E78" s="93"/>
      <c r="F78" s="93"/>
      <c r="G78" s="93"/>
      <c r="H78" s="93"/>
      <c r="I78" s="93"/>
      <c r="J78" s="209"/>
      <c r="K78" s="93"/>
      <c r="L78" s="93"/>
      <c r="M78" s="93"/>
      <c r="N78" s="209"/>
      <c r="O78" s="93"/>
      <c r="P78" s="93"/>
      <c r="Q78" s="93"/>
    </row>
    <row r="79" spans="2:18" hidden="1" outlineLevel="1">
      <c r="B79" s="140"/>
      <c r="C79" s="93"/>
      <c r="D79" s="93"/>
      <c r="E79" s="93"/>
      <c r="F79" s="93"/>
      <c r="G79" s="93"/>
      <c r="H79" s="93"/>
      <c r="I79" s="93"/>
      <c r="J79" s="209"/>
      <c r="K79" s="93"/>
      <c r="L79" s="93"/>
      <c r="M79" s="93"/>
      <c r="N79" s="209"/>
      <c r="O79" s="93"/>
      <c r="P79" s="93"/>
      <c r="Q79" s="93"/>
    </row>
    <row r="80" spans="2:18" hidden="1" outlineLevel="1">
      <c r="B80" s="140"/>
      <c r="C80" s="93"/>
      <c r="D80" s="93"/>
      <c r="E80" s="93"/>
      <c r="F80" s="93"/>
      <c r="G80" s="93"/>
      <c r="H80" s="93"/>
      <c r="I80" s="93"/>
      <c r="J80" s="209"/>
      <c r="K80" s="93"/>
      <c r="L80" s="93"/>
      <c r="M80" s="93"/>
      <c r="N80" s="209"/>
      <c r="O80" s="93"/>
      <c r="P80" s="93"/>
      <c r="Q80" s="93"/>
    </row>
    <row r="81" spans="2:17" hidden="1" outlineLevel="1">
      <c r="B81" s="140"/>
      <c r="C81" s="93"/>
      <c r="D81" s="93"/>
      <c r="E81" s="93"/>
      <c r="F81" s="93"/>
      <c r="G81" s="93"/>
      <c r="H81" s="93"/>
      <c r="I81" s="93"/>
      <c r="J81" s="209"/>
      <c r="K81" s="93"/>
      <c r="L81" s="93"/>
      <c r="M81" s="93"/>
      <c r="N81" s="209"/>
      <c r="O81" s="93"/>
      <c r="P81" s="93"/>
      <c r="Q81" s="93"/>
    </row>
    <row r="82" spans="2:17" hidden="1" outlineLevel="1">
      <c r="B82" s="140"/>
      <c r="C82" s="93"/>
      <c r="D82" s="93"/>
      <c r="E82" s="93"/>
      <c r="F82" s="93"/>
      <c r="G82" s="93"/>
      <c r="H82" s="93"/>
      <c r="I82" s="93"/>
      <c r="J82" s="209"/>
      <c r="K82" s="93"/>
      <c r="L82" s="93"/>
      <c r="M82" s="93"/>
      <c r="N82" s="209"/>
      <c r="O82" s="93"/>
      <c r="P82" s="93"/>
      <c r="Q82" s="93"/>
    </row>
    <row r="83" spans="2:17" hidden="1" outlineLevel="1">
      <c r="B83" s="140"/>
      <c r="C83" s="93"/>
      <c r="D83" s="93"/>
      <c r="E83" s="93"/>
      <c r="F83" s="93"/>
      <c r="G83" s="93"/>
      <c r="H83" s="93"/>
      <c r="I83" s="93"/>
      <c r="J83" s="209"/>
      <c r="K83" s="93"/>
      <c r="L83" s="93"/>
      <c r="M83" s="93"/>
      <c r="N83" s="209"/>
      <c r="O83" s="93"/>
      <c r="P83" s="93"/>
      <c r="Q83" s="93"/>
    </row>
    <row r="84" spans="2:17" hidden="1" outlineLevel="1">
      <c r="B84" s="93"/>
      <c r="C84" s="93"/>
      <c r="D84" s="93"/>
      <c r="E84" s="93"/>
      <c r="F84" s="93"/>
      <c r="G84" s="93"/>
      <c r="H84" s="93"/>
      <c r="I84" s="93"/>
      <c r="J84" s="209"/>
      <c r="K84" s="93"/>
      <c r="L84" s="93"/>
      <c r="M84" s="93"/>
      <c r="N84" s="209"/>
      <c r="O84" s="93"/>
      <c r="P84" s="93"/>
      <c r="Q84" s="93"/>
    </row>
    <row r="85" spans="2:17" hidden="1" outlineLevel="1">
      <c r="B85" s="93"/>
      <c r="C85" s="93"/>
      <c r="D85" s="93"/>
      <c r="E85" s="93"/>
      <c r="F85" s="93"/>
      <c r="G85" s="93"/>
      <c r="H85" s="93"/>
      <c r="I85" s="93"/>
      <c r="J85" s="209"/>
      <c r="K85" s="93"/>
      <c r="L85" s="93"/>
      <c r="M85" s="93"/>
      <c r="N85" s="209"/>
      <c r="O85" s="93"/>
      <c r="P85" s="93"/>
      <c r="Q85" s="93"/>
    </row>
    <row r="86" spans="2:17" hidden="1" outlineLevel="1">
      <c r="B86" s="93"/>
      <c r="C86" s="93"/>
      <c r="D86" s="93"/>
      <c r="E86" s="93"/>
      <c r="F86" s="93"/>
      <c r="G86" s="93"/>
      <c r="H86" s="93"/>
      <c r="I86" s="93"/>
      <c r="J86" s="209"/>
      <c r="K86" s="93"/>
      <c r="L86" s="93"/>
      <c r="M86" s="93"/>
      <c r="N86" s="209"/>
      <c r="O86" s="93"/>
      <c r="P86" s="93"/>
      <c r="Q86" s="93"/>
    </row>
    <row r="87" spans="2:17" hidden="1" outlineLevel="1">
      <c r="B87" s="93"/>
      <c r="C87" s="93"/>
      <c r="D87" s="93"/>
      <c r="E87" s="93"/>
      <c r="F87" s="93"/>
      <c r="G87" s="93"/>
      <c r="H87" s="93"/>
      <c r="I87" s="93"/>
      <c r="J87" s="209"/>
      <c r="K87" s="93"/>
      <c r="L87" s="93"/>
      <c r="M87" s="93"/>
      <c r="N87" s="209"/>
      <c r="O87" s="93"/>
      <c r="P87" s="93"/>
      <c r="Q87" s="93"/>
    </row>
    <row r="88" spans="2:17" hidden="1" outlineLevel="1">
      <c r="B88" s="93"/>
      <c r="C88" s="93"/>
      <c r="D88" s="93"/>
      <c r="E88" s="93"/>
      <c r="F88" s="93"/>
      <c r="G88" s="93"/>
      <c r="H88" s="93"/>
      <c r="I88" s="93"/>
      <c r="J88" s="209"/>
      <c r="K88" s="93"/>
      <c r="L88" s="93"/>
      <c r="M88" s="93"/>
      <c r="N88" s="209"/>
      <c r="O88" s="93"/>
      <c r="P88" s="93"/>
      <c r="Q88" s="93"/>
    </row>
    <row r="89" spans="2:17" hidden="1" outlineLevel="1">
      <c r="B89" s="93"/>
      <c r="C89" s="93"/>
      <c r="D89" s="93"/>
      <c r="E89" s="93"/>
      <c r="F89" s="93"/>
      <c r="G89" s="93"/>
      <c r="H89" s="93"/>
      <c r="I89" s="93"/>
      <c r="J89" s="209"/>
      <c r="K89" s="93"/>
      <c r="L89" s="93"/>
      <c r="M89" s="93"/>
      <c r="N89" s="209"/>
      <c r="O89" s="93"/>
      <c r="P89" s="93"/>
      <c r="Q89" s="93"/>
    </row>
    <row r="90" spans="2:17" hidden="1" outlineLevel="1">
      <c r="B90" s="93"/>
      <c r="C90" s="93"/>
      <c r="D90" s="93"/>
      <c r="E90" s="93"/>
      <c r="F90" s="93"/>
      <c r="G90" s="93"/>
      <c r="H90" s="93"/>
      <c r="I90" s="93"/>
      <c r="J90" s="209"/>
      <c r="K90" s="93"/>
      <c r="L90" s="93"/>
      <c r="M90" s="93"/>
      <c r="N90" s="209"/>
      <c r="O90" s="93"/>
      <c r="P90" s="93"/>
      <c r="Q90" s="93"/>
    </row>
    <row r="91" spans="2:17" hidden="1" outlineLevel="1">
      <c r="B91" s="93"/>
      <c r="C91" s="93"/>
      <c r="D91" s="93"/>
      <c r="E91" s="93"/>
      <c r="F91" s="93"/>
      <c r="G91" s="93"/>
      <c r="H91" s="93"/>
      <c r="I91" s="93"/>
      <c r="J91" s="209"/>
      <c r="K91" s="93"/>
      <c r="L91" s="93"/>
      <c r="M91" s="93"/>
      <c r="N91" s="209"/>
      <c r="O91" s="93"/>
      <c r="P91" s="93"/>
      <c r="Q91" s="93"/>
    </row>
    <row r="92" spans="2:17" collapsed="1"/>
    <row r="93" spans="2:17" ht="15.9">
      <c r="B93" s="170" t="s">
        <v>305</v>
      </c>
    </row>
    <row r="94" spans="2:17">
      <c r="B94" t="s">
        <v>224</v>
      </c>
      <c r="C94" t="s">
        <v>306</v>
      </c>
      <c r="D94" t="s">
        <v>307</v>
      </c>
      <c r="E94" t="s">
        <v>265</v>
      </c>
      <c r="F94" t="s">
        <v>308</v>
      </c>
      <c r="G94" t="s">
        <v>256</v>
      </c>
    </row>
    <row r="95" spans="2:17" hidden="1" outlineLevel="1">
      <c r="D95" s="112"/>
      <c r="E95" s="218"/>
    </row>
    <row r="96" spans="2:17" hidden="1" outlineLevel="1">
      <c r="D96" s="112"/>
      <c r="E96" s="218"/>
    </row>
    <row r="97" spans="2:7" hidden="1" outlineLevel="1">
      <c r="D97" s="112"/>
      <c r="E97" s="218"/>
    </row>
    <row r="98" spans="2:7" hidden="1" outlineLevel="1">
      <c r="D98" s="112"/>
      <c r="E98" s="218"/>
    </row>
    <row r="99" spans="2:7" hidden="1" outlineLevel="1">
      <c r="D99" s="112"/>
    </row>
    <row r="100" spans="2:7" hidden="1" outlineLevel="1">
      <c r="D100" s="112"/>
    </row>
    <row r="101" spans="2:7" collapsed="1"/>
    <row r="102" spans="2:7" ht="15.9">
      <c r="B102" s="170" t="s">
        <v>309</v>
      </c>
    </row>
    <row r="103" spans="2:7">
      <c r="B103" t="s">
        <v>310</v>
      </c>
      <c r="C103" t="s">
        <v>311</v>
      </c>
      <c r="D103" t="s">
        <v>312</v>
      </c>
      <c r="E103" t="s">
        <v>313</v>
      </c>
      <c r="F103" t="s">
        <v>314</v>
      </c>
      <c r="G103" t="s">
        <v>315</v>
      </c>
    </row>
    <row r="104" spans="2:7" hidden="1" outlineLevel="1">
      <c r="G104">
        <f>Table791350[[#This Row],[Purchase Price]]-Table791350[[#This Row],[Sale Price]]</f>
        <v>0</v>
      </c>
    </row>
    <row r="105" spans="2:7" hidden="1" outlineLevel="1">
      <c r="G105">
        <f>Table791350[[#This Row],[Purchase Price]]-Table791350[[#This Row],[Sale Price]]</f>
        <v>0</v>
      </c>
    </row>
    <row r="106" spans="2:7" hidden="1" outlineLevel="1">
      <c r="G106">
        <f>Table791350[[#This Row],[Purchase Price]]-Table791350[[#This Row],[Sale Price]]</f>
        <v>0</v>
      </c>
    </row>
    <row r="107" spans="2:7" hidden="1" outlineLevel="1">
      <c r="G107">
        <f>Table791350[[#This Row],[Purchase Price]]-Table791350[[#This Row],[Sale Price]]</f>
        <v>0</v>
      </c>
    </row>
    <row r="108" spans="2:7" hidden="1" outlineLevel="1">
      <c r="G108">
        <f>Table791350[[#This Row],[Purchase Price]]-Table791350[[#This Row],[Sale Price]]</f>
        <v>0</v>
      </c>
    </row>
    <row r="109" spans="2:7" hidden="1" outlineLevel="1">
      <c r="G109">
        <f>Table791350[[#This Row],[Purchase Price]]-Table791350[[#This Row],[Sale Price]]</f>
        <v>0</v>
      </c>
    </row>
    <row r="110" spans="2:7" hidden="1" outlineLevel="1">
      <c r="G110">
        <f>Table791350[[#This Row],[Purchase Price]]-Table791350[[#This Row],[Sale Price]]</f>
        <v>0</v>
      </c>
    </row>
    <row r="111" spans="2:7" hidden="1" outlineLevel="1">
      <c r="G111">
        <f>Table791350[[#This Row],[Purchase Price]]-Table791350[[#This Row],[Sale Price]]</f>
        <v>0</v>
      </c>
    </row>
    <row r="112" spans="2:7" hidden="1" outlineLevel="1">
      <c r="G112">
        <f>Table791350[[#This Row],[Purchase Price]]-Table791350[[#This Row],[Sale Price]]</f>
        <v>0</v>
      </c>
    </row>
    <row r="113" spans="7:7" hidden="1" outlineLevel="1">
      <c r="G113">
        <f>Table791350[[#This Row],[Purchase Price]]-Table791350[[#This Row],[Sale Price]]</f>
        <v>0</v>
      </c>
    </row>
    <row r="114" spans="7:7" hidden="1" outlineLevel="1">
      <c r="G114">
        <f>Table791350[[#This Row],[Purchase Price]]-Table791350[[#This Row],[Sale Price]]</f>
        <v>0</v>
      </c>
    </row>
    <row r="115" spans="7:7" hidden="1" outlineLevel="1">
      <c r="G115">
        <f>Table791350[[#This Row],[Purchase Price]]-Table791350[[#This Row],[Sale Price]]</f>
        <v>0</v>
      </c>
    </row>
    <row r="116" spans="7:7" hidden="1" outlineLevel="1">
      <c r="G116">
        <f>Table791350[[#This Row],[Purchase Price]]-Table791350[[#This Row],[Sale Price]]</f>
        <v>0</v>
      </c>
    </row>
    <row r="117" spans="7:7" hidden="1" outlineLevel="1">
      <c r="G117">
        <f>Table791350[[#This Row],[Purchase Price]]-Table791350[[#This Row],[Sale Price]]</f>
        <v>0</v>
      </c>
    </row>
    <row r="118" spans="7:7" hidden="1" outlineLevel="1">
      <c r="G118">
        <f>Table791350[[#This Row],[Purchase Price]]-Table791350[[#This Row],[Sale Price]]</f>
        <v>0</v>
      </c>
    </row>
    <row r="119" spans="7:7" hidden="1" outlineLevel="1">
      <c r="G119">
        <f>Table791350[[#This Row],[Purchase Price]]-Table791350[[#This Row],[Sale Price]]</f>
        <v>0</v>
      </c>
    </row>
    <row r="120" spans="7:7" hidden="1" outlineLevel="1">
      <c r="G120">
        <f>Table791350[[#This Row],[Purchase Price]]-Table791350[[#This Row],[Sale Price]]</f>
        <v>0</v>
      </c>
    </row>
    <row r="121" spans="7:7" hidden="1" outlineLevel="1">
      <c r="G121">
        <f>Table791350[[#This Row],[Purchase Price]]-Table791350[[#This Row],[Sale Price]]</f>
        <v>0</v>
      </c>
    </row>
    <row r="122" spans="7:7" collapsed="1"/>
  </sheetData>
  <mergeCells count="6">
    <mergeCell ref="C16:D16"/>
    <mergeCell ref="B3:H3"/>
    <mergeCell ref="C6:D6"/>
    <mergeCell ref="C14:D14"/>
    <mergeCell ref="C15:D15"/>
    <mergeCell ref="G5:H5"/>
  </mergeCells>
  <hyperlinks>
    <hyperlink ref="B1" location="'All Companies'!A1" display="All Companies" xr:uid="{96AAE01F-EFF0-4307-A94B-ECA6A838D372}"/>
    <hyperlink ref="C24" r:id="rId1" display="../../../../:f:/g/personal/robert_tekna_com_au/EpX7tfChDDNEtgKLkpzvhngB1epJLTVt_p4ps5gVaY8qhw?e=IklQcf" xr:uid="{624D0EA2-7F5A-4E37-9772-56620247708E}"/>
    <hyperlink ref="G29" r:id="rId2" display="Constituition - TPQ" xr:uid="{75A9BC7D-DF00-4FB7-BA96-7268035DA223}"/>
  </hyperlinks>
  <pageMargins left="0.7" right="0.7" top="0.75" bottom="0.75" header="0.3" footer="0.3"/>
  <tableParts count="4">
    <tablePart r:id="rId3"/>
    <tablePart r:id="rId4"/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F05EB53-E3F8-429A-AA6A-B2BA27FBDFF5}">
          <x14:formula1>
            <xm:f>'Document Type'!$B$45:$B$47</xm:f>
          </x14:formula1>
          <xm:sqref>C8 G8</xm:sqref>
        </x14:dataValidation>
        <x14:dataValidation type="list" allowBlank="1" showInputMessage="1" showErrorMessage="1" xr:uid="{E7DCB35E-9C76-456A-B812-483909579047}">
          <x14:formula1>
            <xm:f>'Document Type'!$B$49:$B$51</xm:f>
          </x14:formula1>
          <xm:sqref>C10:C11</xm:sqref>
        </x14:dataValidation>
        <x14:dataValidation type="list" allowBlank="1" showInputMessage="1" showErrorMessage="1" xr:uid="{BEA51777-17A1-46B1-8E14-A8DA12C33286}">
          <x14:formula1>
            <xm:f>'Document Type'!$B$38:$B$39</xm:f>
          </x14:formula1>
          <xm:sqref>G6 G13 C13 F15</xm:sqref>
        </x14:dataValidation>
        <x14:dataValidation type="list" allowBlank="1" showInputMessage="1" showErrorMessage="1" xr:uid="{9C29B01E-E233-4EBC-AEEB-D50F4B495741}">
          <x14:formula1>
            <xm:f>'Document Type'!$B$6:$B$34</xm:f>
          </x14:formula1>
          <xm:sqref>C27:C61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32C0A-9392-4CB0-BFD4-73BE4A15933E}">
  <dimension ref="B1:Q121"/>
  <sheetViews>
    <sheetView topLeftCell="A15" workbookViewId="0">
      <selection activeCell="D103" sqref="D103"/>
    </sheetView>
  </sheetViews>
  <sheetFormatPr defaultColWidth="8.69140625" defaultRowHeight="14.6" outlineLevelRow="1"/>
  <cols>
    <col min="1" max="1" width="3.15234375" customWidth="1"/>
    <col min="2" max="2" width="30.15234375" bestFit="1" customWidth="1"/>
    <col min="3" max="3" width="46" bestFit="1" customWidth="1"/>
    <col min="4" max="4" width="15.3046875" bestFit="1" customWidth="1"/>
    <col min="5" max="5" width="20.69140625" bestFit="1" customWidth="1"/>
    <col min="6" max="6" width="28.3046875" bestFit="1" customWidth="1"/>
    <col min="7" max="7" width="21.3046875" bestFit="1" customWidth="1"/>
    <col min="8" max="8" width="25.3046875" bestFit="1" customWidth="1"/>
    <col min="9" max="9" width="19.3046875" bestFit="1" customWidth="1"/>
    <col min="10" max="10" width="24" bestFit="1" customWidth="1"/>
    <col min="11" max="11" width="25" customWidth="1"/>
    <col min="12" max="12" width="16.69140625" bestFit="1" customWidth="1"/>
    <col min="13" max="13" width="27.3046875" bestFit="1" customWidth="1"/>
    <col min="14" max="14" width="31.69140625" bestFit="1" customWidth="1"/>
    <col min="15" max="15" width="30.15234375" bestFit="1" customWidth="1"/>
    <col min="16" max="16" width="21.4609375" bestFit="1" customWidth="1"/>
    <col min="17" max="17" width="23.3046875" bestFit="1" customWidth="1"/>
  </cols>
  <sheetData>
    <row r="1" spans="2:12">
      <c r="B1" s="69" t="s">
        <v>195</v>
      </c>
    </row>
    <row r="2" spans="2:12" ht="15" thickBot="1">
      <c r="J2" t="s">
        <v>196</v>
      </c>
      <c r="K2" t="s">
        <v>197</v>
      </c>
      <c r="L2">
        <v>2024</v>
      </c>
    </row>
    <row r="3" spans="2:12" ht="26.6" thickBot="1">
      <c r="B3" s="373" t="s">
        <v>650</v>
      </c>
      <c r="C3" s="374"/>
      <c r="D3" s="374"/>
      <c r="E3" s="374"/>
      <c r="F3" s="374"/>
      <c r="G3" s="374"/>
      <c r="H3" s="375"/>
      <c r="J3" t="s">
        <v>199</v>
      </c>
      <c r="K3" t="s">
        <v>200</v>
      </c>
    </row>
    <row r="4" spans="2:12" ht="17.8" customHeight="1">
      <c r="B4" s="245" t="s">
        <v>201</v>
      </c>
      <c r="C4" s="93"/>
      <c r="D4" s="273" t="s">
        <v>202</v>
      </c>
      <c r="E4" s="93"/>
      <c r="F4" s="93"/>
      <c r="G4" s="273" t="s">
        <v>203</v>
      </c>
      <c r="H4" s="93"/>
      <c r="J4" t="s">
        <v>204</v>
      </c>
      <c r="K4" t="s">
        <v>205</v>
      </c>
    </row>
    <row r="5" spans="2:12">
      <c r="B5" s="250" t="s">
        <v>206</v>
      </c>
      <c r="C5" s="236"/>
      <c r="D5" s="236"/>
      <c r="E5" s="237"/>
      <c r="F5" s="274" t="s">
        <v>207</v>
      </c>
      <c r="G5" s="285"/>
      <c r="H5" s="289"/>
      <c r="J5" t="s">
        <v>208</v>
      </c>
      <c r="K5" t="s">
        <v>209</v>
      </c>
    </row>
    <row r="6" spans="2:12">
      <c r="B6" s="251" t="s">
        <v>210</v>
      </c>
      <c r="C6" s="376"/>
      <c r="D6" s="376"/>
      <c r="E6" s="232"/>
      <c r="F6" s="275" t="s">
        <v>211</v>
      </c>
      <c r="G6" s="232"/>
      <c r="H6" s="276"/>
      <c r="J6" t="s">
        <v>213</v>
      </c>
      <c r="K6" t="s">
        <v>214</v>
      </c>
    </row>
    <row r="7" spans="2:12">
      <c r="B7" s="250" t="s">
        <v>215</v>
      </c>
      <c r="C7" s="237"/>
      <c r="D7" s="237"/>
      <c r="E7" s="236"/>
      <c r="F7" s="237"/>
      <c r="G7" s="237"/>
      <c r="H7" s="241"/>
      <c r="J7" t="s">
        <v>216</v>
      </c>
      <c r="K7" t="s">
        <v>217</v>
      </c>
    </row>
    <row r="8" spans="2:12">
      <c r="B8" s="249" t="s">
        <v>218</v>
      </c>
      <c r="C8" s="232"/>
      <c r="D8" s="232"/>
      <c r="E8" s="252"/>
      <c r="F8" s="275" t="s">
        <v>220</v>
      </c>
      <c r="G8" s="232"/>
      <c r="H8" s="276"/>
      <c r="J8" t="s">
        <v>222</v>
      </c>
      <c r="K8" t="s">
        <v>223</v>
      </c>
    </row>
    <row r="9" spans="2:12">
      <c r="B9" s="239"/>
      <c r="C9" s="237"/>
      <c r="D9" s="237" t="s">
        <v>224</v>
      </c>
      <c r="E9" s="236"/>
      <c r="F9" s="237"/>
      <c r="G9" s="237"/>
      <c r="H9" s="241"/>
      <c r="J9" t="s">
        <v>225</v>
      </c>
      <c r="K9" t="s">
        <v>226</v>
      </c>
    </row>
    <row r="10" spans="2:12">
      <c r="B10" s="249" t="s">
        <v>227</v>
      </c>
      <c r="C10" s="277"/>
      <c r="D10" s="252"/>
      <c r="E10" s="232"/>
      <c r="F10" s="232"/>
      <c r="G10" s="232"/>
      <c r="H10" s="276"/>
      <c r="J10" t="s">
        <v>229</v>
      </c>
      <c r="K10" t="s">
        <v>230</v>
      </c>
    </row>
    <row r="11" spans="2:12">
      <c r="B11" s="250" t="s">
        <v>231</v>
      </c>
      <c r="C11" s="288"/>
      <c r="D11" s="237"/>
      <c r="E11" s="237"/>
      <c r="F11" s="237"/>
      <c r="G11" s="285"/>
      <c r="H11" s="289"/>
      <c r="J11" t="s">
        <v>232</v>
      </c>
      <c r="K11" t="s">
        <v>233</v>
      </c>
    </row>
    <row r="12" spans="2:12">
      <c r="B12" s="240"/>
      <c r="C12" s="232"/>
      <c r="D12" s="232"/>
      <c r="E12" s="252"/>
      <c r="F12" s="232"/>
      <c r="G12" s="232"/>
      <c r="H12" s="276"/>
      <c r="J12" t="s">
        <v>234</v>
      </c>
      <c r="K12" t="s">
        <v>235</v>
      </c>
    </row>
    <row r="13" spans="2:12">
      <c r="B13" s="250" t="s">
        <v>236</v>
      </c>
      <c r="C13" s="237" t="s">
        <v>212</v>
      </c>
      <c r="D13" s="237"/>
      <c r="E13" s="237"/>
      <c r="F13" s="274" t="s">
        <v>238</v>
      </c>
      <c r="G13" s="237" t="s">
        <v>212</v>
      </c>
      <c r="H13" s="237"/>
      <c r="J13" t="s">
        <v>239</v>
      </c>
    </row>
    <row r="14" spans="2:12">
      <c r="B14" s="242"/>
      <c r="C14" s="233"/>
      <c r="D14" s="233"/>
      <c r="E14" s="232" t="s">
        <v>240</v>
      </c>
      <c r="F14" s="232" t="s">
        <v>241</v>
      </c>
      <c r="G14" s="232"/>
      <c r="H14" s="232"/>
      <c r="J14" t="s">
        <v>242</v>
      </c>
    </row>
    <row r="15" spans="2:12">
      <c r="B15" s="250" t="s">
        <v>243</v>
      </c>
      <c r="C15" s="377"/>
      <c r="D15" s="377"/>
      <c r="E15" s="237"/>
      <c r="F15" s="237"/>
      <c r="G15" s="237"/>
      <c r="H15" s="237"/>
      <c r="J15" t="s">
        <v>245</v>
      </c>
    </row>
    <row r="16" spans="2:12">
      <c r="B16" s="242"/>
      <c r="C16" s="233"/>
      <c r="D16" s="233"/>
      <c r="E16" s="232"/>
      <c r="F16" s="232"/>
      <c r="G16" s="232"/>
      <c r="H16" s="232"/>
      <c r="J16" t="s">
        <v>246</v>
      </c>
    </row>
    <row r="17" spans="2:10">
      <c r="B17" s="250" t="s">
        <v>247</v>
      </c>
      <c r="C17" s="237" t="s">
        <v>248</v>
      </c>
      <c r="D17" s="237" t="s">
        <v>82</v>
      </c>
      <c r="E17" s="236" t="s">
        <v>83</v>
      </c>
      <c r="F17" s="237" t="s">
        <v>249</v>
      </c>
      <c r="G17" s="285"/>
      <c r="H17" s="285"/>
      <c r="J17" t="s">
        <v>250</v>
      </c>
    </row>
    <row r="18" spans="2:10">
      <c r="B18" s="240"/>
      <c r="C18" s="232"/>
      <c r="D18" s="232"/>
      <c r="E18" s="252"/>
      <c r="F18" s="232"/>
      <c r="G18" s="232"/>
      <c r="H18" s="232"/>
      <c r="J18" t="s">
        <v>253</v>
      </c>
    </row>
    <row r="19" spans="2:10">
      <c r="B19" s="239"/>
      <c r="C19" s="237"/>
      <c r="D19" s="237"/>
      <c r="E19" s="236"/>
      <c r="F19" s="237"/>
      <c r="G19" s="237"/>
      <c r="H19" s="237"/>
      <c r="J19" t="s">
        <v>256</v>
      </c>
    </row>
    <row r="20" spans="2:10">
      <c r="B20" s="240"/>
      <c r="C20" s="232"/>
      <c r="D20" s="232"/>
      <c r="E20" s="252"/>
      <c r="F20" s="232"/>
      <c r="G20" s="232"/>
      <c r="H20" s="232"/>
      <c r="J20" t="s">
        <v>257</v>
      </c>
    </row>
    <row r="21" spans="2:10">
      <c r="B21" s="239"/>
      <c r="C21" s="237"/>
      <c r="D21" s="237"/>
      <c r="E21" s="236"/>
      <c r="F21" s="237"/>
      <c r="G21" s="237"/>
      <c r="H21" s="237"/>
      <c r="J21" t="s">
        <v>258</v>
      </c>
    </row>
    <row r="22" spans="2:10">
      <c r="B22" s="240"/>
      <c r="C22" s="232"/>
      <c r="D22" s="232"/>
      <c r="E22" s="252"/>
      <c r="F22" s="232"/>
      <c r="G22" s="232"/>
      <c r="H22" s="232"/>
    </row>
    <row r="24" spans="2:10">
      <c r="B24" t="s">
        <v>259</v>
      </c>
      <c r="C24" s="69" t="s">
        <v>602</v>
      </c>
      <c r="D24" t="s">
        <v>260</v>
      </c>
      <c r="E24" t="s">
        <v>696</v>
      </c>
    </row>
    <row r="26" spans="2:10" ht="15.9">
      <c r="B26" s="170" t="s">
        <v>262</v>
      </c>
      <c r="C26" s="170" t="s">
        <v>263</v>
      </c>
      <c r="D26" s="170" t="s">
        <v>264</v>
      </c>
      <c r="E26" s="170" t="s">
        <v>265</v>
      </c>
      <c r="F26" s="170" t="s">
        <v>266</v>
      </c>
      <c r="G26" s="170" t="s">
        <v>267</v>
      </c>
      <c r="H26" s="170" t="s">
        <v>268</v>
      </c>
    </row>
    <row r="27" spans="2:10" hidden="1" outlineLevel="1">
      <c r="B27" s="14"/>
      <c r="D27" t="e">
        <f>VLOOKUP(C27,'Document Type'!$B$6:$C$34,2,FALSE)</f>
        <v>#N/A</v>
      </c>
      <c r="E27" s="218"/>
    </row>
    <row r="28" spans="2:10" hidden="1" outlineLevel="1">
      <c r="D28" t="e">
        <f>VLOOKUP(C28,'Document Type'!$B$6:$C$34,2,FALSE)</f>
        <v>#N/A</v>
      </c>
      <c r="E28" s="218"/>
    </row>
    <row r="29" spans="2:10" hidden="1" outlineLevel="1">
      <c r="D29" t="e">
        <f>VLOOKUP(C29,'Document Type'!$B$6:$C$34,2,FALSE)</f>
        <v>#N/A</v>
      </c>
      <c r="E29" s="218"/>
      <c r="F29" s="232"/>
    </row>
    <row r="30" spans="2:10" hidden="1" outlineLevel="1">
      <c r="D30" t="e">
        <f>VLOOKUP(C30,'Document Type'!$B$6:$C$34,2,FALSE)</f>
        <v>#N/A</v>
      </c>
      <c r="E30" s="218"/>
    </row>
    <row r="31" spans="2:10" hidden="1" outlineLevel="1">
      <c r="D31" t="e">
        <f>VLOOKUP(C31,'Document Type'!$B$6:$C$34,2,FALSE)</f>
        <v>#N/A</v>
      </c>
      <c r="E31" s="218"/>
    </row>
    <row r="32" spans="2:10" hidden="1" outlineLevel="1">
      <c r="D32" t="e">
        <f>VLOOKUP(C32,'Document Type'!$B$6:$C$34,2,FALSE)</f>
        <v>#N/A</v>
      </c>
      <c r="E32" s="218"/>
    </row>
    <row r="33" spans="4:5" hidden="1" outlineLevel="1">
      <c r="D33" t="e">
        <f>VLOOKUP(C33,'Document Type'!$B$6:$C$34,2,FALSE)</f>
        <v>#N/A</v>
      </c>
      <c r="E33" s="218"/>
    </row>
    <row r="34" spans="4:5" hidden="1" outlineLevel="1">
      <c r="D34" t="e">
        <f>VLOOKUP(C34,'Document Type'!$B$6:$C$34,2,FALSE)</f>
        <v>#N/A</v>
      </c>
      <c r="E34" s="218"/>
    </row>
    <row r="35" spans="4:5" hidden="1" outlineLevel="1">
      <c r="D35" t="e">
        <f>VLOOKUP(C35,'Document Type'!$B$6:$C$34,2,FALSE)</f>
        <v>#N/A</v>
      </c>
      <c r="E35" s="218"/>
    </row>
    <row r="36" spans="4:5" hidden="1" outlineLevel="1">
      <c r="D36" t="e">
        <f>VLOOKUP(C36,'Document Type'!$B$6:$C$34,2,FALSE)</f>
        <v>#N/A</v>
      </c>
      <c r="E36" s="218"/>
    </row>
    <row r="37" spans="4:5" hidden="1" outlineLevel="1">
      <c r="D37" t="e">
        <f>VLOOKUP(C37,'Document Type'!$B$6:$C$34,2,FALSE)</f>
        <v>#N/A</v>
      </c>
      <c r="E37" s="218"/>
    </row>
    <row r="38" spans="4:5" hidden="1" outlineLevel="1">
      <c r="D38" t="e">
        <f>VLOOKUP(C38,'Document Type'!$B$6:$C$34,2,FALSE)</f>
        <v>#N/A</v>
      </c>
      <c r="E38" s="218"/>
    </row>
    <row r="39" spans="4:5" hidden="1" outlineLevel="1">
      <c r="D39" t="e">
        <f>VLOOKUP(C39,'Document Type'!$B$6:$C$34,2,FALSE)</f>
        <v>#N/A</v>
      </c>
      <c r="E39" s="218"/>
    </row>
    <row r="40" spans="4:5" hidden="1" outlineLevel="1">
      <c r="D40" t="e">
        <f>VLOOKUP(C40,'Document Type'!$B$6:$C$34,2,FALSE)</f>
        <v>#N/A</v>
      </c>
      <c r="E40" s="218"/>
    </row>
    <row r="41" spans="4:5" hidden="1" outlineLevel="1">
      <c r="D41" t="e">
        <f>VLOOKUP(C41,'Document Type'!$B$6:$C$34,2,FALSE)</f>
        <v>#N/A</v>
      </c>
      <c r="E41" s="218"/>
    </row>
    <row r="42" spans="4:5" hidden="1" outlineLevel="1">
      <c r="D42" t="e">
        <f>VLOOKUP(C42,'Document Type'!$B$6:$C$34,2,FALSE)</f>
        <v>#N/A</v>
      </c>
      <c r="E42" s="218"/>
    </row>
    <row r="43" spans="4:5" hidden="1" outlineLevel="1">
      <c r="D43" t="e">
        <f>VLOOKUP(C43,'Document Type'!$B$6:$C$34,2,FALSE)</f>
        <v>#N/A</v>
      </c>
      <c r="E43" s="218"/>
    </row>
    <row r="44" spans="4:5" hidden="1" outlineLevel="1">
      <c r="D44" t="e">
        <f>VLOOKUP(C44,'Document Type'!$B$6:$C$34,2,FALSE)</f>
        <v>#N/A</v>
      </c>
      <c r="E44" s="218"/>
    </row>
    <row r="45" spans="4:5" hidden="1" outlineLevel="1">
      <c r="D45" t="e">
        <f>VLOOKUP(C45,'Document Type'!$B$6:$C$34,2,FALSE)</f>
        <v>#N/A</v>
      </c>
      <c r="E45" s="218"/>
    </row>
    <row r="46" spans="4:5" hidden="1" outlineLevel="1">
      <c r="D46" t="e">
        <f>VLOOKUP(C46,'Document Type'!$B$6:$C$34,2,FALSE)</f>
        <v>#N/A</v>
      </c>
      <c r="E46" s="218"/>
    </row>
    <row r="47" spans="4:5" hidden="1" outlineLevel="1">
      <c r="D47" t="e">
        <f>VLOOKUP(C47,'Document Type'!$B$6:$C$34,2,FALSE)</f>
        <v>#N/A</v>
      </c>
      <c r="E47" s="218"/>
    </row>
    <row r="48" spans="4:5" hidden="1" outlineLevel="1">
      <c r="D48" t="e">
        <f>VLOOKUP(C48,'Document Type'!$B$6:$C$34,2,FALSE)</f>
        <v>#N/A</v>
      </c>
      <c r="E48" s="218"/>
    </row>
    <row r="49" spans="2:17" hidden="1" outlineLevel="1">
      <c r="D49" t="e">
        <f>VLOOKUP(C49,'Document Type'!$B$6:$C$34,2,FALSE)</f>
        <v>#N/A</v>
      </c>
      <c r="E49" s="218"/>
    </row>
    <row r="50" spans="2:17" hidden="1" outlineLevel="1">
      <c r="D50" t="e">
        <f>VLOOKUP(C50,'Document Type'!$B$6:$C$34,2,FALSE)</f>
        <v>#N/A</v>
      </c>
      <c r="E50" s="218"/>
      <c r="G50" s="69"/>
    </row>
    <row r="51" spans="2:17" hidden="1" outlineLevel="1">
      <c r="D51" t="e">
        <f>VLOOKUP(C51,'Document Type'!$B$6:$C$34,2,FALSE)</f>
        <v>#N/A</v>
      </c>
    </row>
    <row r="52" spans="2:17" hidden="1" outlineLevel="1">
      <c r="D52" t="e">
        <f>VLOOKUP(C52,'Document Type'!$B$6:$C$34,2,FALSE)</f>
        <v>#N/A</v>
      </c>
    </row>
    <row r="53" spans="2:17" hidden="1" outlineLevel="1">
      <c r="D53" t="e">
        <f>VLOOKUP(C53,'Document Type'!$B$6:$C$34,2,FALSE)</f>
        <v>#N/A</v>
      </c>
    </row>
    <row r="54" spans="2:17" hidden="1" outlineLevel="1">
      <c r="D54" t="e">
        <f>VLOOKUP(C54,'Document Type'!$B$6:$C$34,2,FALSE)</f>
        <v>#N/A</v>
      </c>
    </row>
    <row r="55" spans="2:17" hidden="1" outlineLevel="1">
      <c r="D55" t="e">
        <f>VLOOKUP(C55,'Document Type'!$B$6:$C$34,2,FALSE)</f>
        <v>#N/A</v>
      </c>
    </row>
    <row r="56" spans="2:17" hidden="1" outlineLevel="1">
      <c r="D56" t="e">
        <f>VLOOKUP(C56,'Document Type'!$B$6:$C$34,2,FALSE)</f>
        <v>#N/A</v>
      </c>
    </row>
    <row r="57" spans="2:17" hidden="1" outlineLevel="1">
      <c r="D57" t="e">
        <f>VLOOKUP(C57,'Document Type'!$B$6:$C$34,2,FALSE)</f>
        <v>#N/A</v>
      </c>
    </row>
    <row r="58" spans="2:17" hidden="1" outlineLevel="1">
      <c r="D58" t="e">
        <f>VLOOKUP(C58,'Document Type'!$B$6:$C$34,2,FALSE)</f>
        <v>#N/A</v>
      </c>
    </row>
    <row r="59" spans="2:17" hidden="1" outlineLevel="1">
      <c r="D59" t="e">
        <f>VLOOKUP(C59,'Document Type'!$B$6:$C$34,2,FALSE)</f>
        <v>#N/A</v>
      </c>
    </row>
    <row r="60" spans="2:17" hidden="1" outlineLevel="1">
      <c r="D60" t="e">
        <f>VLOOKUP(C60,'Document Type'!$B$6:$C$34,2,FALSE)</f>
        <v>#N/A</v>
      </c>
    </row>
    <row r="61" spans="2:17" hidden="1" outlineLevel="1">
      <c r="D61" t="e">
        <f>VLOOKUP(C61,'Document Type'!$B$6:$C$34,2,FALSE)</f>
        <v>#N/A</v>
      </c>
    </row>
    <row r="62" spans="2:17" collapsed="1"/>
    <row r="63" spans="2:17" ht="15.9">
      <c r="B63" s="170" t="s">
        <v>289</v>
      </c>
    </row>
    <row r="64" spans="2:17" s="199" customFormat="1">
      <c r="B64" s="350" t="s">
        <v>265</v>
      </c>
      <c r="C64" s="350" t="s">
        <v>290</v>
      </c>
      <c r="D64" s="350" t="s">
        <v>291</v>
      </c>
      <c r="E64" s="351" t="s">
        <v>292</v>
      </c>
      <c r="F64" s="350" t="s">
        <v>293</v>
      </c>
      <c r="G64" s="350" t="s">
        <v>294</v>
      </c>
      <c r="H64" s="352" t="s">
        <v>295</v>
      </c>
      <c r="I64" s="353" t="s">
        <v>296</v>
      </c>
      <c r="J64" s="354" t="s">
        <v>297</v>
      </c>
      <c r="K64" s="199" t="s">
        <v>298</v>
      </c>
      <c r="L64" s="199" t="s">
        <v>299</v>
      </c>
      <c r="M64" s="199" t="s">
        <v>300</v>
      </c>
      <c r="N64" s="354" t="s">
        <v>301</v>
      </c>
      <c r="O64" s="199" t="s">
        <v>302</v>
      </c>
      <c r="P64" s="199" t="s">
        <v>303</v>
      </c>
      <c r="Q64" s="199" t="s">
        <v>304</v>
      </c>
    </row>
    <row r="65" spans="2:17" hidden="1" outlineLevel="1">
      <c r="B65" s="140"/>
      <c r="C65" s="93"/>
      <c r="D65" s="93"/>
      <c r="E65" s="93"/>
      <c r="F65" s="93"/>
      <c r="G65" s="93"/>
      <c r="H65" s="93"/>
      <c r="I65" s="93"/>
      <c r="J65" s="209"/>
      <c r="K65" s="93"/>
      <c r="L65" s="93"/>
      <c r="M65" s="93"/>
      <c r="N65" s="209"/>
      <c r="O65" s="93"/>
      <c r="P65" s="93"/>
      <c r="Q65" s="93"/>
    </row>
    <row r="66" spans="2:17" hidden="1" outlineLevel="1">
      <c r="B66" s="140"/>
      <c r="C66" s="93"/>
      <c r="D66" s="93"/>
      <c r="E66" s="93"/>
      <c r="F66" s="93"/>
      <c r="G66" s="93"/>
      <c r="H66" s="93"/>
      <c r="I66" s="93"/>
      <c r="J66" s="209"/>
      <c r="K66" s="93"/>
      <c r="L66" s="93"/>
      <c r="M66" s="93"/>
      <c r="N66" s="209"/>
      <c r="O66" s="93"/>
      <c r="P66" s="93"/>
      <c r="Q66" s="93"/>
    </row>
    <row r="67" spans="2:17" hidden="1" outlineLevel="1">
      <c r="B67" s="140"/>
      <c r="C67" s="93"/>
      <c r="D67" s="93"/>
      <c r="E67" s="93"/>
      <c r="F67" s="93"/>
      <c r="G67" s="93"/>
      <c r="H67" s="93"/>
      <c r="I67" s="93"/>
      <c r="J67" s="209"/>
      <c r="K67" s="93"/>
      <c r="L67" s="93"/>
      <c r="M67" s="93"/>
      <c r="N67" s="209"/>
      <c r="O67" s="93"/>
      <c r="P67" s="93"/>
      <c r="Q67" s="93"/>
    </row>
    <row r="68" spans="2:17" hidden="1" outlineLevel="1">
      <c r="B68" s="140"/>
      <c r="C68" s="93"/>
      <c r="D68" s="93"/>
      <c r="E68" s="93"/>
      <c r="F68" s="93"/>
      <c r="G68" s="93"/>
      <c r="H68" s="93"/>
      <c r="I68" s="93"/>
      <c r="J68" s="209"/>
      <c r="K68" s="93"/>
      <c r="L68" s="93"/>
      <c r="M68" s="93"/>
      <c r="N68" s="209"/>
      <c r="O68" s="93"/>
      <c r="P68" s="93"/>
      <c r="Q68" s="93"/>
    </row>
    <row r="69" spans="2:17" hidden="1" outlineLevel="1">
      <c r="B69" s="140"/>
      <c r="C69" s="93"/>
      <c r="D69" s="93"/>
      <c r="E69" s="93"/>
      <c r="F69" s="93"/>
      <c r="G69" s="93"/>
      <c r="H69" s="93"/>
      <c r="I69" s="93"/>
      <c r="J69" s="209"/>
      <c r="K69" s="93"/>
      <c r="L69" s="93"/>
      <c r="M69" s="93"/>
      <c r="N69" s="209"/>
      <c r="O69" s="93"/>
      <c r="P69" s="93"/>
      <c r="Q69" s="93"/>
    </row>
    <row r="70" spans="2:17" hidden="1" outlineLevel="1">
      <c r="B70" s="140"/>
      <c r="C70" s="93"/>
      <c r="D70" s="93"/>
      <c r="E70" s="93"/>
      <c r="F70" s="93"/>
      <c r="G70" s="93"/>
      <c r="H70" s="93"/>
      <c r="I70" s="93"/>
      <c r="J70" s="209"/>
      <c r="K70" s="93"/>
      <c r="L70" s="93"/>
      <c r="M70" s="93"/>
      <c r="N70" s="209"/>
      <c r="O70" s="93"/>
      <c r="P70" s="93"/>
      <c r="Q70" s="93"/>
    </row>
    <row r="71" spans="2:17" hidden="1" outlineLevel="1">
      <c r="B71" s="140"/>
      <c r="C71" s="93"/>
      <c r="D71" s="93"/>
      <c r="E71" s="93"/>
      <c r="F71" s="93"/>
      <c r="G71" s="93"/>
      <c r="H71" s="93"/>
      <c r="I71" s="93"/>
      <c r="J71" s="209"/>
      <c r="K71" s="93"/>
      <c r="L71" s="93"/>
      <c r="M71" s="93"/>
      <c r="N71" s="209"/>
      <c r="O71" s="93"/>
      <c r="P71" s="93"/>
      <c r="Q71" s="93"/>
    </row>
    <row r="72" spans="2:17" hidden="1" outlineLevel="1">
      <c r="B72" s="140"/>
      <c r="C72" s="93"/>
      <c r="D72" s="93"/>
      <c r="E72" s="93"/>
      <c r="F72" s="93"/>
      <c r="G72" s="93"/>
      <c r="H72" s="93"/>
      <c r="I72" s="93"/>
      <c r="J72" s="209"/>
      <c r="K72" s="93"/>
      <c r="L72" s="93"/>
      <c r="M72" s="93"/>
      <c r="N72" s="209"/>
      <c r="O72" s="93"/>
      <c r="P72" s="93"/>
      <c r="Q72" s="93"/>
    </row>
    <row r="73" spans="2:17" hidden="1" outlineLevel="1">
      <c r="B73" s="140"/>
      <c r="C73" s="93"/>
      <c r="D73" s="93"/>
      <c r="E73" s="93"/>
      <c r="F73" s="93"/>
      <c r="G73" s="93"/>
      <c r="H73" s="93"/>
      <c r="I73" s="93"/>
      <c r="J73" s="209"/>
      <c r="K73" s="93"/>
      <c r="L73" s="93"/>
      <c r="M73" s="93"/>
      <c r="N73" s="209"/>
      <c r="O73" s="93"/>
      <c r="P73" s="93"/>
      <c r="Q73" s="93"/>
    </row>
    <row r="74" spans="2:17" hidden="1" outlineLevel="1">
      <c r="B74" s="140"/>
      <c r="C74" s="93"/>
      <c r="D74" s="93"/>
      <c r="E74" s="93"/>
      <c r="F74" s="93"/>
      <c r="G74" s="93"/>
      <c r="H74" s="93"/>
      <c r="I74" s="93"/>
      <c r="J74" s="209"/>
      <c r="K74" s="93"/>
      <c r="L74" s="93"/>
      <c r="M74" s="93"/>
      <c r="N74" s="209"/>
      <c r="O74" s="93"/>
      <c r="P74" s="93"/>
      <c r="Q74" s="93"/>
    </row>
    <row r="75" spans="2:17" hidden="1" outlineLevel="1">
      <c r="B75" s="140"/>
      <c r="C75" s="93"/>
      <c r="D75" s="93"/>
      <c r="E75" s="93"/>
      <c r="F75" s="93"/>
      <c r="G75" s="93"/>
      <c r="H75" s="93"/>
      <c r="I75" s="93"/>
      <c r="J75" s="209"/>
      <c r="K75" s="93"/>
      <c r="L75" s="93"/>
      <c r="M75" s="93"/>
      <c r="N75" s="209"/>
      <c r="O75" s="93"/>
      <c r="P75" s="93"/>
      <c r="Q75" s="93"/>
    </row>
    <row r="76" spans="2:17" hidden="1" outlineLevel="1">
      <c r="B76" s="140"/>
      <c r="C76" s="93"/>
      <c r="D76" s="93"/>
      <c r="E76" s="93"/>
      <c r="F76" s="93"/>
      <c r="G76" s="93"/>
      <c r="H76" s="93"/>
      <c r="I76" s="93"/>
      <c r="J76" s="209"/>
      <c r="K76" s="93"/>
      <c r="L76" s="93"/>
      <c r="M76" s="93"/>
      <c r="N76" s="209"/>
      <c r="O76" s="93"/>
      <c r="P76" s="93"/>
      <c r="Q76" s="93"/>
    </row>
    <row r="77" spans="2:17" hidden="1" outlineLevel="1">
      <c r="B77" s="140"/>
      <c r="C77" s="93"/>
      <c r="D77" s="93"/>
      <c r="E77" s="93"/>
      <c r="F77" s="93"/>
      <c r="G77" s="93"/>
      <c r="H77" s="93"/>
      <c r="I77" s="93"/>
      <c r="J77" s="209"/>
      <c r="K77" s="93"/>
      <c r="L77" s="93"/>
      <c r="M77" s="93"/>
      <c r="N77" s="209"/>
      <c r="O77" s="93"/>
      <c r="P77" s="93"/>
      <c r="Q77" s="93"/>
    </row>
    <row r="78" spans="2:17" hidden="1" outlineLevel="1">
      <c r="B78" s="140"/>
      <c r="C78" s="93"/>
      <c r="D78" s="93"/>
      <c r="E78" s="93"/>
      <c r="F78" s="93"/>
      <c r="G78" s="93"/>
      <c r="H78" s="93"/>
      <c r="I78" s="93"/>
      <c r="J78" s="209"/>
      <c r="K78" s="93"/>
      <c r="L78" s="93"/>
      <c r="M78" s="93"/>
      <c r="N78" s="209"/>
      <c r="O78" s="93"/>
      <c r="P78" s="93"/>
      <c r="Q78" s="93"/>
    </row>
    <row r="79" spans="2:17" hidden="1" outlineLevel="1">
      <c r="B79" s="140"/>
      <c r="C79" s="93"/>
      <c r="D79" s="93"/>
      <c r="E79" s="93"/>
      <c r="F79" s="93"/>
      <c r="G79" s="93"/>
      <c r="H79" s="93"/>
      <c r="I79" s="93"/>
      <c r="J79" s="209"/>
      <c r="K79" s="93"/>
      <c r="L79" s="93"/>
      <c r="M79" s="93"/>
      <c r="N79" s="209"/>
      <c r="O79" s="93"/>
      <c r="P79" s="93"/>
      <c r="Q79" s="93"/>
    </row>
    <row r="80" spans="2:17" hidden="1" outlineLevel="1">
      <c r="B80" s="140"/>
      <c r="C80" s="93"/>
      <c r="D80" s="93"/>
      <c r="E80" s="93"/>
      <c r="F80" s="93"/>
      <c r="G80" s="93"/>
      <c r="H80" s="93"/>
      <c r="I80" s="93"/>
      <c r="J80" s="209"/>
      <c r="K80" s="93"/>
      <c r="L80" s="93"/>
      <c r="M80" s="93"/>
      <c r="N80" s="209"/>
      <c r="O80" s="93"/>
      <c r="P80" s="93"/>
      <c r="Q80" s="93"/>
    </row>
    <row r="81" spans="2:17" hidden="1" outlineLevel="1">
      <c r="B81" s="140"/>
      <c r="C81" s="93"/>
      <c r="D81" s="93"/>
      <c r="E81" s="93"/>
      <c r="F81" s="93"/>
      <c r="G81" s="93"/>
      <c r="H81" s="93"/>
      <c r="I81" s="93"/>
      <c r="J81" s="209"/>
      <c r="K81" s="93"/>
      <c r="L81" s="93"/>
      <c r="M81" s="93"/>
      <c r="N81" s="209"/>
      <c r="O81" s="93"/>
      <c r="P81" s="93"/>
      <c r="Q81" s="93"/>
    </row>
    <row r="82" spans="2:17" hidden="1" outlineLevel="1">
      <c r="B82" s="140"/>
      <c r="C82" s="93"/>
      <c r="D82" s="93"/>
      <c r="E82" s="93"/>
      <c r="F82" s="93"/>
      <c r="G82" s="93"/>
      <c r="H82" s="93"/>
      <c r="I82" s="93"/>
      <c r="J82" s="209"/>
      <c r="K82" s="93"/>
      <c r="L82" s="93"/>
      <c r="M82" s="93"/>
      <c r="N82" s="209"/>
      <c r="O82" s="93"/>
      <c r="P82" s="93"/>
      <c r="Q82" s="93"/>
    </row>
    <row r="83" spans="2:17" hidden="1" outlineLevel="1">
      <c r="B83" s="93"/>
      <c r="C83" s="93"/>
      <c r="D83" s="93"/>
      <c r="E83" s="93"/>
      <c r="F83" s="93"/>
      <c r="G83" s="93"/>
      <c r="H83" s="93"/>
      <c r="I83" s="93"/>
      <c r="J83" s="209"/>
      <c r="K83" s="93"/>
      <c r="L83" s="93"/>
      <c r="M83" s="93"/>
      <c r="N83" s="209"/>
      <c r="O83" s="93"/>
      <c r="P83" s="93"/>
      <c r="Q83" s="93"/>
    </row>
    <row r="84" spans="2:17" hidden="1" outlineLevel="1">
      <c r="B84" s="93"/>
      <c r="C84" s="93"/>
      <c r="D84" s="93"/>
      <c r="E84" s="93"/>
      <c r="F84" s="93"/>
      <c r="G84" s="93"/>
      <c r="H84" s="93"/>
      <c r="I84" s="93"/>
      <c r="J84" s="209"/>
      <c r="K84" s="93"/>
      <c r="L84" s="93"/>
      <c r="M84" s="93"/>
      <c r="N84" s="209"/>
      <c r="O84" s="93"/>
      <c r="P84" s="93"/>
      <c r="Q84" s="93"/>
    </row>
    <row r="85" spans="2:17" hidden="1" outlineLevel="1">
      <c r="B85" s="93"/>
      <c r="C85" s="93"/>
      <c r="D85" s="93"/>
      <c r="E85" s="93"/>
      <c r="F85" s="93"/>
      <c r="G85" s="93"/>
      <c r="H85" s="93"/>
      <c r="I85" s="93"/>
      <c r="J85" s="209"/>
      <c r="K85" s="93"/>
      <c r="L85" s="93"/>
      <c r="M85" s="93"/>
      <c r="N85" s="209"/>
      <c r="O85" s="93"/>
      <c r="P85" s="93"/>
      <c r="Q85" s="93"/>
    </row>
    <row r="86" spans="2:17" hidden="1" outlineLevel="1">
      <c r="B86" s="93"/>
      <c r="C86" s="93"/>
      <c r="D86" s="93"/>
      <c r="E86" s="93"/>
      <c r="F86" s="93"/>
      <c r="G86" s="93"/>
      <c r="H86" s="93"/>
      <c r="I86" s="93"/>
      <c r="J86" s="209"/>
      <c r="K86" s="93"/>
      <c r="L86" s="93"/>
      <c r="M86" s="93"/>
      <c r="N86" s="209"/>
      <c r="O86" s="93"/>
      <c r="P86" s="93"/>
      <c r="Q86" s="93"/>
    </row>
    <row r="87" spans="2:17" hidden="1" outlineLevel="1">
      <c r="B87" s="93"/>
      <c r="C87" s="93"/>
      <c r="D87" s="93"/>
      <c r="E87" s="93"/>
      <c r="F87" s="93"/>
      <c r="G87" s="93"/>
      <c r="H87" s="93"/>
      <c r="I87" s="93"/>
      <c r="J87" s="209"/>
      <c r="K87" s="93"/>
      <c r="L87" s="93"/>
      <c r="M87" s="93"/>
      <c r="N87" s="209"/>
      <c r="O87" s="93"/>
      <c r="P87" s="93"/>
      <c r="Q87" s="93"/>
    </row>
    <row r="88" spans="2:17" hidden="1" outlineLevel="1">
      <c r="B88" s="93"/>
      <c r="C88" s="93"/>
      <c r="D88" s="93"/>
      <c r="E88" s="93"/>
      <c r="F88" s="93"/>
      <c r="G88" s="93"/>
      <c r="H88" s="93"/>
      <c r="I88" s="93"/>
      <c r="J88" s="209"/>
      <c r="K88" s="93"/>
      <c r="L88" s="93"/>
      <c r="M88" s="93"/>
      <c r="N88" s="209"/>
      <c r="O88" s="93"/>
      <c r="P88" s="93"/>
      <c r="Q88" s="93"/>
    </row>
    <row r="89" spans="2:17" hidden="1" outlineLevel="1">
      <c r="B89" s="93"/>
      <c r="C89" s="93"/>
      <c r="D89" s="93"/>
      <c r="E89" s="93"/>
      <c r="F89" s="93"/>
      <c r="G89" s="93"/>
      <c r="H89" s="93"/>
      <c r="I89" s="93"/>
      <c r="J89" s="209"/>
      <c r="K89" s="93"/>
      <c r="L89" s="93"/>
      <c r="M89" s="93"/>
      <c r="N89" s="209"/>
      <c r="O89" s="93"/>
      <c r="P89" s="93"/>
      <c r="Q89" s="93"/>
    </row>
    <row r="90" spans="2:17" hidden="1" outlineLevel="1">
      <c r="B90" s="93"/>
      <c r="C90" s="93"/>
      <c r="D90" s="93"/>
      <c r="E90" s="93"/>
      <c r="F90" s="93"/>
      <c r="G90" s="93"/>
      <c r="H90" s="93"/>
      <c r="I90" s="93"/>
      <c r="J90" s="209"/>
      <c r="K90" s="93"/>
      <c r="L90" s="93"/>
      <c r="M90" s="93"/>
      <c r="N90" s="209"/>
      <c r="O90" s="93"/>
      <c r="P90" s="93"/>
      <c r="Q90" s="93"/>
    </row>
    <row r="91" spans="2:17" collapsed="1"/>
    <row r="92" spans="2:17" ht="15.9">
      <c r="B92" s="170" t="s">
        <v>305</v>
      </c>
    </row>
    <row r="93" spans="2:17">
      <c r="B93" t="s">
        <v>224</v>
      </c>
      <c r="C93" t="s">
        <v>306</v>
      </c>
      <c r="D93" t="s">
        <v>307</v>
      </c>
      <c r="E93" t="s">
        <v>265</v>
      </c>
      <c r="F93" t="s">
        <v>308</v>
      </c>
      <c r="G93" t="s">
        <v>256</v>
      </c>
    </row>
    <row r="94" spans="2:17" hidden="1" outlineLevel="1">
      <c r="D94" s="112"/>
      <c r="E94" s="218"/>
    </row>
    <row r="95" spans="2:17" hidden="1" outlineLevel="1">
      <c r="D95" s="112"/>
      <c r="E95" s="218"/>
    </row>
    <row r="96" spans="2:17" hidden="1" outlineLevel="1">
      <c r="D96" s="112"/>
      <c r="E96" s="218"/>
    </row>
    <row r="97" spans="2:8" hidden="1" outlineLevel="1">
      <c r="D97" s="112"/>
      <c r="E97" s="218"/>
    </row>
    <row r="98" spans="2:8" hidden="1" outlineLevel="1">
      <c r="D98" s="112"/>
    </row>
    <row r="99" spans="2:8" hidden="1" outlineLevel="1">
      <c r="D99" s="112"/>
    </row>
    <row r="100" spans="2:8" collapsed="1"/>
    <row r="101" spans="2:8" ht="15.9">
      <c r="B101" s="170" t="s">
        <v>309</v>
      </c>
    </row>
    <row r="102" spans="2:8">
      <c r="B102" t="s">
        <v>310</v>
      </c>
      <c r="C102" t="s">
        <v>311</v>
      </c>
      <c r="D102" t="s">
        <v>312</v>
      </c>
      <c r="E102" t="s">
        <v>313</v>
      </c>
      <c r="F102" t="s">
        <v>314</v>
      </c>
      <c r="G102" t="s">
        <v>705</v>
      </c>
      <c r="H102" t="s">
        <v>315</v>
      </c>
    </row>
    <row r="103" spans="2:8" hidden="1" outlineLevel="1">
      <c r="H103" s="112">
        <f>Table7913[[#This Row],[Sale Price]]-Table7913[[#This Row],[Purchase Price]]+Table7913[[#This Row],[Depreciation]]</f>
        <v>0</v>
      </c>
    </row>
    <row r="104" spans="2:8" hidden="1" outlineLevel="1">
      <c r="H104" s="112">
        <f>Table7913[[#This Row],[Sale Price]]-Table7913[[#This Row],[Purchase Price]]+Table7913[[#This Row],[Depreciation]]</f>
        <v>0</v>
      </c>
    </row>
    <row r="105" spans="2:8" hidden="1" outlineLevel="1">
      <c r="H105" s="112">
        <f>Table7913[[#This Row],[Sale Price]]-Table7913[[#This Row],[Purchase Price]]+Table7913[[#This Row],[Depreciation]]</f>
        <v>0</v>
      </c>
    </row>
    <row r="106" spans="2:8" hidden="1" outlineLevel="1">
      <c r="H106" s="112">
        <f>Table7913[[#This Row],[Sale Price]]-Table7913[[#This Row],[Purchase Price]]+Table7913[[#This Row],[Depreciation]]</f>
        <v>0</v>
      </c>
    </row>
    <row r="107" spans="2:8" hidden="1" outlineLevel="1">
      <c r="H107" s="112">
        <f>Table7913[[#This Row],[Sale Price]]-Table7913[[#This Row],[Purchase Price]]+Table7913[[#This Row],[Depreciation]]</f>
        <v>0</v>
      </c>
    </row>
    <row r="108" spans="2:8" hidden="1" outlineLevel="1">
      <c r="H108" s="112">
        <f>Table7913[[#This Row],[Sale Price]]-Table7913[[#This Row],[Purchase Price]]+Table7913[[#This Row],[Depreciation]]</f>
        <v>0</v>
      </c>
    </row>
    <row r="109" spans="2:8" hidden="1" outlineLevel="1">
      <c r="H109" s="112">
        <f>Table7913[[#This Row],[Sale Price]]-Table7913[[#This Row],[Purchase Price]]+Table7913[[#This Row],[Depreciation]]</f>
        <v>0</v>
      </c>
    </row>
    <row r="110" spans="2:8" hidden="1" outlineLevel="1">
      <c r="H110" s="112">
        <f>Table7913[[#This Row],[Sale Price]]-Table7913[[#This Row],[Purchase Price]]+Table7913[[#This Row],[Depreciation]]</f>
        <v>0</v>
      </c>
    </row>
    <row r="111" spans="2:8" hidden="1" outlineLevel="1">
      <c r="H111" s="112">
        <f>Table7913[[#This Row],[Sale Price]]-Table7913[[#This Row],[Purchase Price]]+Table7913[[#This Row],[Depreciation]]</f>
        <v>0</v>
      </c>
    </row>
    <row r="112" spans="2:8" hidden="1" outlineLevel="1">
      <c r="H112" s="112">
        <f>Table7913[[#This Row],[Sale Price]]-Table7913[[#This Row],[Purchase Price]]+Table7913[[#This Row],[Depreciation]]</f>
        <v>0</v>
      </c>
    </row>
    <row r="113" spans="8:8" hidden="1" outlineLevel="1">
      <c r="H113" s="112">
        <f>Table7913[[#This Row],[Sale Price]]-Table7913[[#This Row],[Purchase Price]]+Table7913[[#This Row],[Depreciation]]</f>
        <v>0</v>
      </c>
    </row>
    <row r="114" spans="8:8" hidden="1" outlineLevel="1">
      <c r="H114" s="112">
        <f>Table7913[[#This Row],[Sale Price]]-Table7913[[#This Row],[Purchase Price]]+Table7913[[#This Row],[Depreciation]]</f>
        <v>0</v>
      </c>
    </row>
    <row r="115" spans="8:8" hidden="1" outlineLevel="1">
      <c r="H115" s="112">
        <f>Table7913[[#This Row],[Sale Price]]-Table7913[[#This Row],[Purchase Price]]+Table7913[[#This Row],[Depreciation]]</f>
        <v>0</v>
      </c>
    </row>
    <row r="116" spans="8:8" hidden="1" outlineLevel="1">
      <c r="H116" s="112">
        <f>Table7913[[#This Row],[Sale Price]]-Table7913[[#This Row],[Purchase Price]]+Table7913[[#This Row],[Depreciation]]</f>
        <v>0</v>
      </c>
    </row>
    <row r="117" spans="8:8" hidden="1" outlineLevel="1">
      <c r="H117" s="112">
        <f>Table7913[[#This Row],[Sale Price]]-Table7913[[#This Row],[Purchase Price]]+Table7913[[#This Row],[Depreciation]]</f>
        <v>0</v>
      </c>
    </row>
    <row r="118" spans="8:8" hidden="1" outlineLevel="1">
      <c r="H118" s="112">
        <f>Table7913[[#This Row],[Sale Price]]-Table7913[[#This Row],[Purchase Price]]+Table7913[[#This Row],[Depreciation]]</f>
        <v>0</v>
      </c>
    </row>
    <row r="119" spans="8:8" hidden="1" outlineLevel="1">
      <c r="H119" s="112">
        <f>Table7913[[#This Row],[Sale Price]]-Table7913[[#This Row],[Purchase Price]]+Table7913[[#This Row],[Depreciation]]</f>
        <v>0</v>
      </c>
    </row>
    <row r="120" spans="8:8" hidden="1" outlineLevel="1">
      <c r="H120" s="112">
        <f>Table7913[[#This Row],[Sale Price]]-Table7913[[#This Row],[Purchase Price]]+Table7913[[#This Row],[Depreciation]]</f>
        <v>0</v>
      </c>
    </row>
    <row r="121" spans="8:8" collapsed="1"/>
  </sheetData>
  <mergeCells count="3">
    <mergeCell ref="C15:D15"/>
    <mergeCell ref="B3:H3"/>
    <mergeCell ref="C6:D6"/>
  </mergeCells>
  <pageMargins left="0.7" right="0.7" top="0.75" bottom="0.75" header="0.3" footer="0.3"/>
  <tableParts count="4">
    <tablePart r:id="rId1"/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6EBDBBA-1C3F-4B11-AE5B-54EA7699EB56}">
          <x14:formula1>
            <xm:f>'Document Type'!$B$38:$B$39</xm:f>
          </x14:formula1>
          <xm:sqref>F15 F29 G13 C13 G6</xm:sqref>
        </x14:dataValidation>
        <x14:dataValidation type="list" allowBlank="1" showInputMessage="1" showErrorMessage="1" xr:uid="{48720A2C-50B9-4C5A-8C3F-94391FD12A09}">
          <x14:formula1>
            <xm:f>'Document Type'!$B$45:$B$47</xm:f>
          </x14:formula1>
          <xm:sqref>C8 G8</xm:sqref>
        </x14:dataValidation>
        <x14:dataValidation type="list" allowBlank="1" showInputMessage="1" showErrorMessage="1" xr:uid="{55BC9EE7-CCC8-4DEF-A15D-847715C2979E}">
          <x14:formula1>
            <xm:f>'Document Type'!$B$49:$B$51</xm:f>
          </x14:formula1>
          <xm:sqref>C10:C11</xm:sqref>
        </x14:dataValidation>
        <x14:dataValidation type="list" allowBlank="1" showInputMessage="1" showErrorMessage="1" xr:uid="{B322B8A1-A09B-495A-AC32-4BC57CBAABA4}">
          <x14:formula1>
            <xm:f>'Document Type'!$B$6:$B$34</xm:f>
          </x14:formula1>
          <xm:sqref>C27:C61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9D655-87D6-4A7E-961B-EEAF4654BB13}">
  <dimension ref="A1:N28"/>
  <sheetViews>
    <sheetView topLeftCell="C1" zoomScale="120" zoomScaleNormal="120" workbookViewId="0">
      <pane ySplit="1" topLeftCell="A2" activePane="bottomLeft" state="frozen"/>
      <selection pane="bottomLeft" activeCell="A6" sqref="A6:XFD6"/>
    </sheetView>
  </sheetViews>
  <sheetFormatPr defaultColWidth="9.15234375" defaultRowHeight="14.6"/>
  <cols>
    <col min="1" max="1" width="30.3046875" style="44" bestFit="1" customWidth="1"/>
    <col min="2" max="2" width="57.3046875" style="14" bestFit="1" customWidth="1"/>
    <col min="3" max="3" width="30" style="281" customWidth="1"/>
    <col min="4" max="4" width="12.3046875" style="14" bestFit="1" customWidth="1"/>
    <col min="5" max="5" width="25.3046875" style="44" customWidth="1"/>
    <col min="6" max="6" width="11.69140625" style="44" bestFit="1" customWidth="1"/>
    <col min="7" max="7" width="30.69140625" style="14" customWidth="1"/>
    <col min="8" max="8" width="28.69140625" style="283" customWidth="1"/>
    <col min="9" max="9" width="23.15234375" style="44" bestFit="1" customWidth="1"/>
    <col min="10" max="10" width="29.3046875" style="28" customWidth="1"/>
    <col min="11" max="11" width="17.15234375" style="14" customWidth="1"/>
    <col min="12" max="12" width="25.3046875" style="46" bestFit="1" customWidth="1"/>
    <col min="13" max="13" width="15.4609375" style="44" customWidth="1"/>
    <col min="14" max="16384" width="9.15234375" style="14"/>
  </cols>
  <sheetData>
    <row r="1" spans="1:13">
      <c r="A1" s="328" t="s">
        <v>0</v>
      </c>
      <c r="B1" s="329" t="s">
        <v>1</v>
      </c>
      <c r="C1" s="330" t="s">
        <v>13</v>
      </c>
      <c r="D1" s="329" t="s">
        <v>8</v>
      </c>
      <c r="E1" s="329" t="s">
        <v>9</v>
      </c>
      <c r="F1" s="329" t="s">
        <v>10</v>
      </c>
      <c r="G1" s="329" t="s">
        <v>12</v>
      </c>
      <c r="H1" s="330" t="s">
        <v>11</v>
      </c>
      <c r="I1" s="329" t="s">
        <v>2</v>
      </c>
      <c r="J1" s="331" t="s">
        <v>3</v>
      </c>
      <c r="K1" s="329" t="s">
        <v>4</v>
      </c>
      <c r="L1" s="332" t="s">
        <v>1415</v>
      </c>
      <c r="M1" s="333" t="s">
        <v>6</v>
      </c>
    </row>
    <row r="2" spans="1:13" s="253" customFormat="1" ht="15" thickBot="1">
      <c r="A2" s="267" t="s">
        <v>440</v>
      </c>
      <c r="B2" s="341" t="s">
        <v>706</v>
      </c>
      <c r="C2" s="279">
        <v>45382</v>
      </c>
      <c r="D2" s="266" t="str">
        <f>Tekna!C4</f>
        <v>658 462 394</v>
      </c>
      <c r="E2" s="266" t="str">
        <f>Tekna!E4</f>
        <v>43 658 462 394</v>
      </c>
      <c r="F2" s="266" t="str">
        <f>Tekna!H4</f>
        <v>605 934 917</v>
      </c>
      <c r="G2" s="268" t="str">
        <f>Tekna!C10</f>
        <v>Andrew Mark Clement</v>
      </c>
      <c r="H2" s="282">
        <f>Tekna!C5</f>
        <v>44712</v>
      </c>
      <c r="I2" s="266">
        <v>94512428</v>
      </c>
      <c r="J2" s="344" t="s">
        <v>707</v>
      </c>
      <c r="K2" s="270" t="s">
        <v>708</v>
      </c>
      <c r="L2" s="345" t="s">
        <v>24</v>
      </c>
      <c r="M2" s="346" t="s">
        <v>709</v>
      </c>
    </row>
    <row r="3" spans="1:13" s="253" customFormat="1" ht="15" thickBot="1">
      <c r="A3" s="267" t="s">
        <v>440</v>
      </c>
      <c r="B3" s="341" t="s">
        <v>710</v>
      </c>
      <c r="C3" s="279">
        <v>45492</v>
      </c>
      <c r="D3" s="266" t="str">
        <f>'Tekna Drafting'!C4</f>
        <v>159 565 849</v>
      </c>
      <c r="E3" s="349" t="str">
        <f>'Tekna Drafting'!E4</f>
        <v>96 159 565 849</v>
      </c>
      <c r="F3" s="266" t="str">
        <f>'Tekna Drafting'!H4</f>
        <v>938 078 821</v>
      </c>
      <c r="G3" s="268" t="str">
        <f>'Tekna Drafting'!C10</f>
        <v>Andrew Mark Clement</v>
      </c>
      <c r="H3" s="282">
        <f>'Tekna Drafting'!C5</f>
        <v>41109</v>
      </c>
      <c r="I3" s="266">
        <v>10135027</v>
      </c>
      <c r="J3" s="344" t="s">
        <v>711</v>
      </c>
      <c r="K3" s="270" t="s">
        <v>708</v>
      </c>
      <c r="L3" s="345" t="s">
        <v>24</v>
      </c>
      <c r="M3" s="346" t="s">
        <v>709</v>
      </c>
    </row>
    <row r="4" spans="1:13" s="253" customFormat="1" ht="15" thickBot="1">
      <c r="A4" s="340" t="s">
        <v>440</v>
      </c>
      <c r="B4" s="341" t="s">
        <v>712</v>
      </c>
      <c r="C4" s="279">
        <v>45382</v>
      </c>
      <c r="D4" s="264" t="str">
        <f>'Tekna Homes'!B4</f>
        <v>658 462 732</v>
      </c>
      <c r="E4" s="264" t="str">
        <f>'Tekna Homes'!D4</f>
        <v>34 658 462 732</v>
      </c>
      <c r="F4" s="264" t="str">
        <f>'Tekna Homes'!G4</f>
        <v>605 934 180</v>
      </c>
      <c r="G4" s="342" t="str">
        <f>'Tekna Homes'!B10</f>
        <v>Andrew Mark Clement</v>
      </c>
      <c r="H4" s="343">
        <f>'Tekna Homes'!B5</f>
        <v>44651</v>
      </c>
      <c r="I4" s="263">
        <v>56845790</v>
      </c>
      <c r="J4" s="344" t="s">
        <v>713</v>
      </c>
      <c r="K4" s="270" t="s">
        <v>708</v>
      </c>
      <c r="L4" s="345" t="s">
        <v>24</v>
      </c>
      <c r="M4" s="346" t="s">
        <v>709</v>
      </c>
    </row>
    <row r="5" spans="1:13" s="253" customFormat="1" ht="15" thickBot="1">
      <c r="A5" s="340" t="s">
        <v>440</v>
      </c>
      <c r="B5" s="341" t="s">
        <v>714</v>
      </c>
      <c r="C5" s="279">
        <v>45630</v>
      </c>
      <c r="D5" s="264" t="str">
        <f>'Tekna Admin'!C4</f>
        <v>673 388 424</v>
      </c>
      <c r="E5" s="264" t="str">
        <f>'Tekna Admin'!E4</f>
        <v>81 673 388 424</v>
      </c>
      <c r="F5" s="264" t="str">
        <f>'Tekna Admin'!H4</f>
        <v>518 585 770</v>
      </c>
      <c r="G5" s="358" t="str">
        <f>'Tekna Admin'!C10</f>
        <v>Andrew Mark Clement</v>
      </c>
      <c r="H5" s="343">
        <f>'Tekna Admin'!C5</f>
        <v>45264</v>
      </c>
      <c r="I5" s="264">
        <v>42468380</v>
      </c>
      <c r="J5" s="344" t="s">
        <v>707</v>
      </c>
      <c r="K5" s="253" t="s">
        <v>708</v>
      </c>
      <c r="L5" s="359" t="s">
        <v>24</v>
      </c>
      <c r="M5" s="346" t="s">
        <v>709</v>
      </c>
    </row>
    <row r="6" spans="1:13" s="253" customFormat="1" ht="15" thickBot="1">
      <c r="A6" s="263" t="s">
        <v>149</v>
      </c>
      <c r="B6" s="270" t="s">
        <v>150</v>
      </c>
      <c r="C6" s="279">
        <v>45222</v>
      </c>
      <c r="D6" s="264" t="str">
        <f>'Team Harder'!B4</f>
        <v>645 359 495</v>
      </c>
      <c r="E6" s="263"/>
      <c r="F6" s="263"/>
      <c r="G6" s="358" t="str">
        <f>'Team Harder'!B10</f>
        <v>Rachel Anne Harder</v>
      </c>
      <c r="H6" s="360">
        <f>'Team Harder'!B5</f>
        <v>44127</v>
      </c>
      <c r="I6" s="263">
        <v>16724280</v>
      </c>
      <c r="J6" s="263" t="s">
        <v>711</v>
      </c>
      <c r="K6" s="263" t="s">
        <v>708</v>
      </c>
      <c r="L6" s="359" t="s">
        <v>24</v>
      </c>
      <c r="M6" s="346" t="s">
        <v>709</v>
      </c>
    </row>
    <row r="7" spans="1:13" s="253" customFormat="1">
      <c r="A7" s="267" t="s">
        <v>149</v>
      </c>
      <c r="B7" s="268" t="s">
        <v>156</v>
      </c>
      <c r="C7" s="279"/>
      <c r="D7" s="266"/>
      <c r="E7" s="266" t="str">
        <f>'Team Harder Super Fund'!D4</f>
        <v>17 209 120 631</v>
      </c>
      <c r="F7" s="266" t="str">
        <f>'Team Harder Super Fund'!G4</f>
        <v>534 254 470</v>
      </c>
      <c r="G7" s="268"/>
      <c r="H7" s="279"/>
      <c r="I7" s="266"/>
      <c r="J7" s="266"/>
      <c r="K7" s="266"/>
      <c r="L7" s="272"/>
      <c r="M7" s="346"/>
    </row>
    <row r="8" spans="1:13" s="253" customFormat="1">
      <c r="A8" s="267" t="s">
        <v>106</v>
      </c>
      <c r="B8" s="268" t="s">
        <v>107</v>
      </c>
      <c r="C8" s="279">
        <v>45016</v>
      </c>
      <c r="D8" s="266" t="str">
        <f>'Gen2612'!B4</f>
        <v>658 463 659</v>
      </c>
      <c r="E8" s="266" t="str">
        <f>'Gen2612'!D4</f>
        <v>47 658 463 659</v>
      </c>
      <c r="F8" s="266" t="str">
        <f>'Gen2612'!G4</f>
        <v>605 934 566</v>
      </c>
      <c r="G8" s="269" t="str">
        <f>'Gen2612'!B10</f>
        <v>Rachel Anne Harder</v>
      </c>
      <c r="H8" s="279">
        <f>'Gen2612'!B5</f>
        <v>44651</v>
      </c>
      <c r="I8" s="263">
        <v>8860820</v>
      </c>
      <c r="J8" s="266" t="s">
        <v>711</v>
      </c>
      <c r="K8" s="266" t="s">
        <v>708</v>
      </c>
      <c r="L8" s="272" t="s">
        <v>24</v>
      </c>
      <c r="M8" s="346" t="s">
        <v>709</v>
      </c>
    </row>
    <row r="9" spans="1:13" s="265" customFormat="1" ht="14.25" customHeight="1">
      <c r="A9" s="267" t="s">
        <v>106</v>
      </c>
      <c r="B9" s="268" t="s">
        <v>129</v>
      </c>
      <c r="C9" s="279">
        <v>45081</v>
      </c>
      <c r="D9" s="266" t="str">
        <f>Prov1322!B4</f>
        <v>658 602 478</v>
      </c>
      <c r="E9" s="266" t="str">
        <f>Prov1322!D4</f>
        <v>34 658 602 478</v>
      </c>
      <c r="F9" s="266" t="str">
        <f>Prov1322!G4</f>
        <v>606 189 260</v>
      </c>
      <c r="G9" s="269" t="str">
        <f>Prov1322!B10</f>
        <v>Rachel Anne Harder</v>
      </c>
      <c r="H9" s="279">
        <f>Prov1322!B5</f>
        <v>44657</v>
      </c>
      <c r="I9" s="266">
        <v>32350239</v>
      </c>
      <c r="J9" s="266" t="s">
        <v>711</v>
      </c>
      <c r="K9" s="266" t="s">
        <v>708</v>
      </c>
      <c r="L9" s="272" t="s">
        <v>24</v>
      </c>
      <c r="M9" s="346" t="s">
        <v>709</v>
      </c>
    </row>
    <row r="10" spans="1:13" s="265" customFormat="1">
      <c r="A10" s="267" t="s">
        <v>106</v>
      </c>
      <c r="B10" s="268" t="s">
        <v>133</v>
      </c>
      <c r="C10" s="279"/>
      <c r="D10" s="266"/>
      <c r="E10" s="266" t="str">
        <f>'Team Harder Family Trust'!E4</f>
        <v>94 633 472 433</v>
      </c>
      <c r="F10" s="266" t="str">
        <f>'Team Harder Family Trust'!H4</f>
        <v>605 725 602</v>
      </c>
      <c r="G10" s="268"/>
      <c r="H10" s="279"/>
      <c r="I10" s="266"/>
      <c r="J10" s="266"/>
      <c r="K10" s="266"/>
      <c r="L10" s="272"/>
      <c r="M10" s="346"/>
    </row>
    <row r="11" spans="1:13" s="265" customFormat="1">
      <c r="A11" s="267" t="s">
        <v>106</v>
      </c>
      <c r="B11" s="268" t="s">
        <v>161</v>
      </c>
      <c r="C11" s="279">
        <v>45027</v>
      </c>
      <c r="D11" s="266" t="str">
        <f>THSI!C4</f>
        <v>658 706 597</v>
      </c>
      <c r="E11" s="266" t="str">
        <f>THSI!E4</f>
        <v>32 658 706 597</v>
      </c>
      <c r="F11" s="266" t="str">
        <f>THSI!H4</f>
        <v>608 117 219</v>
      </c>
      <c r="G11" s="269" t="str">
        <f>THSI!C10</f>
        <v>Rachel Anne Harder</v>
      </c>
      <c r="H11" s="279">
        <f>THSI!C5</f>
        <v>44662</v>
      </c>
      <c r="I11" s="266">
        <v>24400857</v>
      </c>
      <c r="J11" s="266" t="s">
        <v>711</v>
      </c>
      <c r="K11" s="266" t="s">
        <v>708</v>
      </c>
      <c r="L11" s="272" t="s">
        <v>24</v>
      </c>
      <c r="M11" s="346" t="s">
        <v>709</v>
      </c>
    </row>
    <row r="12" spans="1:13" s="265" customFormat="1">
      <c r="A12" s="267" t="s">
        <v>106</v>
      </c>
      <c r="B12" s="268" t="s">
        <v>178</v>
      </c>
      <c r="C12" s="279">
        <v>45055</v>
      </c>
      <c r="D12" s="348" t="str">
        <f>W2G!C4</f>
        <v>092 659 688</v>
      </c>
      <c r="E12" s="266" t="str">
        <f>W2G!E4</f>
        <v>59 092 659 688</v>
      </c>
      <c r="F12" s="266" t="str">
        <f>W2G!H4</f>
        <v>726 881 624</v>
      </c>
      <c r="G12" s="269" t="str">
        <f>W2G!C10</f>
        <v>Rachel Anne Harder</v>
      </c>
      <c r="H12" s="279">
        <f>W2G!C5</f>
        <v>36655</v>
      </c>
      <c r="I12" s="266" t="s">
        <v>179</v>
      </c>
      <c r="J12" s="266" t="s">
        <v>180</v>
      </c>
      <c r="K12" s="266" t="s">
        <v>708</v>
      </c>
      <c r="L12" s="272" t="s">
        <v>24</v>
      </c>
      <c r="M12" s="346" t="s">
        <v>25</v>
      </c>
    </row>
    <row r="13" spans="1:13" s="265" customFormat="1">
      <c r="A13" s="267" t="s">
        <v>715</v>
      </c>
      <c r="B13" s="268" t="s">
        <v>716</v>
      </c>
      <c r="C13" s="279">
        <v>45780</v>
      </c>
      <c r="D13" s="266">
        <f>'The Promise QLD PTY LTD'!C4</f>
        <v>677065137</v>
      </c>
      <c r="E13" s="266">
        <f>'The Promise QLD PTY LTD'!E4</f>
        <v>0</v>
      </c>
      <c r="F13" s="266">
        <f>'The Promise QLD PTY LTD'!H4</f>
        <v>0</v>
      </c>
      <c r="G13" s="269" t="str">
        <f>'The Promise QLD PTY LTD'!C10</f>
        <v>Sophie Mee-Jeong Harder</v>
      </c>
      <c r="H13" s="282">
        <f>'The Promise QLD PTY LTD'!C5</f>
        <v>45415</v>
      </c>
      <c r="I13" s="266">
        <v>27845006</v>
      </c>
      <c r="J13" s="271" t="s">
        <v>713</v>
      </c>
      <c r="K13" s="268" t="s">
        <v>708</v>
      </c>
      <c r="L13" s="272" t="s">
        <v>24</v>
      </c>
      <c r="M13" s="346" t="s">
        <v>709</v>
      </c>
    </row>
    <row r="14" spans="1:13" s="265" customFormat="1">
      <c r="A14" s="267" t="s">
        <v>715</v>
      </c>
      <c r="B14" s="268" t="s">
        <v>687</v>
      </c>
      <c r="C14" s="279">
        <v>45780</v>
      </c>
      <c r="D14" s="268"/>
      <c r="E14" s="266"/>
      <c r="F14" s="347"/>
      <c r="G14" s="268"/>
      <c r="H14" s="279"/>
      <c r="I14" s="266"/>
      <c r="J14" s="266"/>
      <c r="K14" s="266"/>
      <c r="L14" s="266"/>
      <c r="M14" s="346"/>
    </row>
    <row r="15" spans="1:13" s="28" customFormat="1">
      <c r="A15" s="321" t="s">
        <v>717</v>
      </c>
      <c r="B15" s="20" t="s">
        <v>92</v>
      </c>
      <c r="C15" s="286"/>
      <c r="D15" s="20"/>
      <c r="E15" s="319" t="s">
        <v>143</v>
      </c>
      <c r="F15" s="33" t="s">
        <v>144</v>
      </c>
      <c r="G15" s="20"/>
      <c r="H15" s="286"/>
      <c r="I15" s="16"/>
      <c r="J15" s="16"/>
      <c r="K15" s="16"/>
      <c r="L15" s="16"/>
      <c r="M15" s="76"/>
    </row>
    <row r="16" spans="1:13" s="28" customFormat="1">
      <c r="A16" s="321" t="s">
        <v>717</v>
      </c>
      <c r="B16" s="20" t="s">
        <v>65</v>
      </c>
      <c r="C16" s="322"/>
      <c r="D16" s="18"/>
      <c r="E16" s="16"/>
      <c r="F16" s="33" t="s">
        <v>145</v>
      </c>
      <c r="G16" s="33"/>
      <c r="H16" s="323"/>
      <c r="I16" s="44"/>
      <c r="J16" s="16"/>
      <c r="K16" s="16"/>
      <c r="L16" s="16"/>
      <c r="M16" s="76"/>
    </row>
    <row r="17" spans="1:14" s="28" customFormat="1">
      <c r="A17" s="324" t="s">
        <v>717</v>
      </c>
      <c r="B17" s="36" t="s">
        <v>146</v>
      </c>
      <c r="C17" s="325"/>
      <c r="D17" s="37"/>
      <c r="E17" s="35"/>
      <c r="F17" s="35" t="s">
        <v>718</v>
      </c>
      <c r="G17" s="35"/>
      <c r="H17" s="326"/>
      <c r="I17" s="44"/>
      <c r="J17" s="35"/>
      <c r="K17" s="35"/>
      <c r="L17" s="16"/>
      <c r="M17" s="76"/>
    </row>
    <row r="18" spans="1:14" s="28" customFormat="1">
      <c r="A18" s="321" t="s">
        <v>717</v>
      </c>
      <c r="B18" s="20" t="s">
        <v>147</v>
      </c>
      <c r="C18" s="322"/>
      <c r="D18" s="18"/>
      <c r="E18" s="16"/>
      <c r="F18" s="16" t="s">
        <v>719</v>
      </c>
      <c r="G18" s="16"/>
      <c r="H18" s="286"/>
      <c r="I18" s="44"/>
      <c r="J18" s="16"/>
      <c r="K18" s="16"/>
      <c r="L18" s="16"/>
      <c r="M18" s="76"/>
    </row>
    <row r="19" spans="1:14" s="28" customFormat="1">
      <c r="A19" s="321" t="s">
        <v>717</v>
      </c>
      <c r="B19" t="s">
        <v>690</v>
      </c>
      <c r="C19" s="322"/>
      <c r="D19" s="320"/>
      <c r="E19" s="16"/>
      <c r="F19" s="16" t="s">
        <v>720</v>
      </c>
      <c r="G19" s="16"/>
      <c r="H19" s="286"/>
      <c r="I19" s="327"/>
      <c r="J19" s="16"/>
      <c r="K19" s="16"/>
      <c r="L19" s="16"/>
      <c r="M19" s="76"/>
    </row>
    <row r="20" spans="1:14" s="28" customFormat="1">
      <c r="A20" s="44"/>
      <c r="B20" s="14"/>
      <c r="C20" s="280"/>
      <c r="D20" s="14"/>
      <c r="E20" s="44"/>
      <c r="F20" s="44"/>
      <c r="G20" s="14"/>
      <c r="H20" s="283"/>
      <c r="I20" s="44"/>
      <c r="K20" s="14"/>
      <c r="L20" s="46"/>
      <c r="M20" s="44"/>
    </row>
    <row r="21" spans="1:14" s="28" customFormat="1">
      <c r="A21" s="44"/>
      <c r="B21" s="14"/>
      <c r="C21" s="280"/>
      <c r="D21" s="14"/>
      <c r="E21" s="44"/>
      <c r="F21" s="44"/>
      <c r="G21" s="14"/>
      <c r="H21" s="283"/>
      <c r="I21" s="44"/>
      <c r="K21" s="14"/>
      <c r="L21" s="46"/>
      <c r="M21" s="44"/>
    </row>
    <row r="22" spans="1:14" s="28" customFormat="1">
      <c r="A22" s="44" t="s">
        <v>1408</v>
      </c>
      <c r="B22" s="14" t="s">
        <v>1414</v>
      </c>
      <c r="C22" s="280" t="s">
        <v>1409</v>
      </c>
      <c r="D22" t="s">
        <v>1410</v>
      </c>
      <c r="E22" s="44"/>
      <c r="F22" s="44"/>
      <c r="G22" s="14" t="s">
        <v>228</v>
      </c>
      <c r="H22" s="283">
        <v>45924</v>
      </c>
      <c r="J22" s="221" t="s">
        <v>713</v>
      </c>
      <c r="K22" s="14" t="s">
        <v>1412</v>
      </c>
      <c r="L22" s="46" t="s">
        <v>1411</v>
      </c>
      <c r="M22" s="44" t="s">
        <v>1029</v>
      </c>
      <c r="N22" s="28" t="s">
        <v>1413</v>
      </c>
    </row>
    <row r="23" spans="1:14" s="28" customFormat="1">
      <c r="A23" s="44"/>
      <c r="B23" s="14" t="s">
        <v>1400</v>
      </c>
      <c r="C23" s="280"/>
      <c r="D23" t="s">
        <v>1401</v>
      </c>
      <c r="E23" s="44"/>
      <c r="F23" s="44"/>
      <c r="G23" s="14"/>
      <c r="H23" s="283"/>
      <c r="I23" s="44"/>
      <c r="K23" s="14"/>
      <c r="L23" s="46"/>
      <c r="M23" s="44"/>
    </row>
    <row r="24" spans="1:14" s="28" customFormat="1">
      <c r="A24" s="44"/>
      <c r="B24" s="14"/>
      <c r="C24" s="280"/>
      <c r="D24" s="14"/>
      <c r="E24" s="44"/>
      <c r="F24" s="44"/>
      <c r="G24" s="14"/>
      <c r="H24" s="283"/>
      <c r="I24" s="44"/>
      <c r="K24" s="14"/>
      <c r="L24" s="46"/>
      <c r="M24" s="44"/>
    </row>
    <row r="25" spans="1:14" s="28" customFormat="1">
      <c r="A25" s="44"/>
      <c r="B25" s="15" t="s">
        <v>717</v>
      </c>
      <c r="C25" s="280"/>
      <c r="D25" s="14"/>
      <c r="E25" s="44"/>
      <c r="F25" s="44"/>
      <c r="G25" s="14"/>
      <c r="H25" s="283"/>
      <c r="I25" s="44"/>
      <c r="K25" s="14"/>
      <c r="L25" s="46"/>
      <c r="M25" s="44"/>
    </row>
    <row r="26" spans="1:14" s="28" customFormat="1">
      <c r="A26" s="44"/>
      <c r="B26" s="14"/>
      <c r="C26" s="280"/>
      <c r="D26" s="14"/>
      <c r="E26" s="44"/>
      <c r="F26" s="44"/>
      <c r="G26" s="14"/>
      <c r="H26" s="283"/>
      <c r="I26" s="44"/>
      <c r="K26" s="14"/>
      <c r="L26" s="46"/>
      <c r="M26" s="44"/>
    </row>
    <row r="27" spans="1:14" s="28" customFormat="1">
      <c r="A27" s="44"/>
      <c r="B27" s="14" t="s">
        <v>1425</v>
      </c>
      <c r="C27" s="280" t="s">
        <v>1426</v>
      </c>
      <c r="D27" s="14"/>
      <c r="E27" s="44"/>
      <c r="F27" s="44"/>
      <c r="G27" s="14"/>
      <c r="H27" s="283"/>
      <c r="I27" s="44"/>
      <c r="K27" s="14"/>
      <c r="L27" s="46"/>
      <c r="M27" s="44"/>
    </row>
    <row r="28" spans="1:14">
      <c r="C28" s="281" t="s">
        <v>1427</v>
      </c>
    </row>
  </sheetData>
  <hyperlinks>
    <hyperlink ref="J22" r:id="rId1" xr:uid="{6FE0CB88-4E55-4FB8-9641-71271A05DDA4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F58AB-3A41-4CD2-A0EE-DF855F0201DD}">
  <dimension ref="B2:F51"/>
  <sheetViews>
    <sheetView workbookViewId="0">
      <selection activeCell="C41" sqref="C41"/>
    </sheetView>
  </sheetViews>
  <sheetFormatPr defaultColWidth="8.69140625" defaultRowHeight="14.6"/>
  <cols>
    <col min="2" max="2" width="28.4609375" customWidth="1"/>
    <col min="3" max="3" width="18.3046875" bestFit="1" customWidth="1"/>
    <col min="6" max="6" width="17.69140625" customWidth="1"/>
  </cols>
  <sheetData>
    <row r="2" spans="2:6">
      <c r="B2" t="s">
        <v>754</v>
      </c>
      <c r="C2" t="s">
        <v>264</v>
      </c>
      <c r="F2" t="s">
        <v>192</v>
      </c>
    </row>
    <row r="6" spans="2:6">
      <c r="B6" t="s">
        <v>196</v>
      </c>
      <c r="C6" t="s">
        <v>755</v>
      </c>
      <c r="F6" t="s">
        <v>756</v>
      </c>
    </row>
    <row r="7" spans="2:6">
      <c r="B7" t="s">
        <v>199</v>
      </c>
      <c r="C7" t="s">
        <v>755</v>
      </c>
      <c r="F7" t="s">
        <v>757</v>
      </c>
    </row>
    <row r="8" spans="2:6">
      <c r="B8" t="s">
        <v>204</v>
      </c>
      <c r="C8" t="s">
        <v>204</v>
      </c>
      <c r="F8" t="s">
        <v>758</v>
      </c>
    </row>
    <row r="9" spans="2:6">
      <c r="B9" t="s">
        <v>208</v>
      </c>
      <c r="C9" t="s">
        <v>321</v>
      </c>
      <c r="F9" t="s">
        <v>759</v>
      </c>
    </row>
    <row r="10" spans="2:6">
      <c r="B10" t="s">
        <v>213</v>
      </c>
      <c r="C10" t="s">
        <v>213</v>
      </c>
      <c r="F10" t="s">
        <v>213</v>
      </c>
    </row>
    <row r="11" spans="2:6">
      <c r="B11" t="s">
        <v>216</v>
      </c>
      <c r="C11" t="s">
        <v>289</v>
      </c>
      <c r="F11" t="s">
        <v>760</v>
      </c>
    </row>
    <row r="12" spans="2:6">
      <c r="B12" t="s">
        <v>222</v>
      </c>
      <c r="C12" t="s">
        <v>222</v>
      </c>
      <c r="F12" t="s">
        <v>761</v>
      </c>
    </row>
    <row r="13" spans="2:6">
      <c r="B13" t="s">
        <v>225</v>
      </c>
      <c r="C13" t="s">
        <v>321</v>
      </c>
      <c r="F13" t="s">
        <v>762</v>
      </c>
    </row>
    <row r="14" spans="2:6">
      <c r="B14" t="s">
        <v>229</v>
      </c>
      <c r="C14" t="s">
        <v>763</v>
      </c>
      <c r="F14" t="s">
        <v>764</v>
      </c>
    </row>
    <row r="15" spans="2:6">
      <c r="B15" t="s">
        <v>232</v>
      </c>
      <c r="C15" t="s">
        <v>321</v>
      </c>
      <c r="F15" t="s">
        <v>765</v>
      </c>
    </row>
    <row r="16" spans="2:6">
      <c r="B16" t="s">
        <v>234</v>
      </c>
      <c r="C16" t="s">
        <v>321</v>
      </c>
      <c r="F16" t="s">
        <v>766</v>
      </c>
    </row>
    <row r="17" spans="2:6">
      <c r="B17" t="s">
        <v>287</v>
      </c>
      <c r="C17" t="s">
        <v>321</v>
      </c>
      <c r="F17" t="s">
        <v>767</v>
      </c>
    </row>
    <row r="18" spans="2:6">
      <c r="B18" t="s">
        <v>552</v>
      </c>
      <c r="C18" t="s">
        <v>321</v>
      </c>
      <c r="F18" t="s">
        <v>768</v>
      </c>
    </row>
    <row r="19" spans="2:6">
      <c r="B19" t="s">
        <v>512</v>
      </c>
      <c r="C19" t="s">
        <v>321</v>
      </c>
    </row>
    <row r="20" spans="2:6">
      <c r="B20" t="s">
        <v>242</v>
      </c>
      <c r="C20" t="s">
        <v>321</v>
      </c>
      <c r="F20" t="s">
        <v>769</v>
      </c>
    </row>
    <row r="21" spans="2:6">
      <c r="B21" t="s">
        <v>245</v>
      </c>
      <c r="C21" t="s">
        <v>321</v>
      </c>
      <c r="F21" t="s">
        <v>770</v>
      </c>
    </row>
    <row r="22" spans="2:6">
      <c r="B22" t="s">
        <v>1280</v>
      </c>
      <c r="C22" t="s">
        <v>1280</v>
      </c>
      <c r="F22" t="s">
        <v>1281</v>
      </c>
    </row>
    <row r="23" spans="2:6">
      <c r="B23" t="s">
        <v>370</v>
      </c>
      <c r="C23" t="s">
        <v>755</v>
      </c>
    </row>
    <row r="24" spans="2:6">
      <c r="B24" t="s">
        <v>246</v>
      </c>
      <c r="C24" t="s">
        <v>246</v>
      </c>
      <c r="F24" t="s">
        <v>771</v>
      </c>
    </row>
    <row r="25" spans="2:6">
      <c r="B25" t="s">
        <v>1347</v>
      </c>
      <c r="C25" t="s">
        <v>246</v>
      </c>
      <c r="F25" t="s">
        <v>1348</v>
      </c>
    </row>
    <row r="26" spans="2:6">
      <c r="B26" t="s">
        <v>250</v>
      </c>
      <c r="C26" t="s">
        <v>321</v>
      </c>
      <c r="F26" t="s">
        <v>772</v>
      </c>
    </row>
    <row r="27" spans="2:6">
      <c r="B27" t="s">
        <v>253</v>
      </c>
      <c r="C27" t="s">
        <v>321</v>
      </c>
      <c r="F27" t="s">
        <v>773</v>
      </c>
    </row>
    <row r="28" spans="2:6">
      <c r="B28" t="s">
        <v>2</v>
      </c>
      <c r="C28" t="s">
        <v>321</v>
      </c>
    </row>
    <row r="29" spans="2:6">
      <c r="B29" t="s">
        <v>256</v>
      </c>
      <c r="C29" t="s">
        <v>755</v>
      </c>
      <c r="F29" t="s">
        <v>256</v>
      </c>
    </row>
    <row r="30" spans="2:6">
      <c r="B30" t="s">
        <v>257</v>
      </c>
      <c r="C30" t="s">
        <v>321</v>
      </c>
    </row>
    <row r="31" spans="2:6">
      <c r="B31" t="s">
        <v>445</v>
      </c>
      <c r="C31" t="s">
        <v>258</v>
      </c>
    </row>
    <row r="32" spans="2:6">
      <c r="B32" t="s">
        <v>1349</v>
      </c>
      <c r="C32" t="s">
        <v>321</v>
      </c>
      <c r="F32" t="s">
        <v>1350</v>
      </c>
    </row>
    <row r="34" spans="2:6">
      <c r="B34" t="s">
        <v>258</v>
      </c>
      <c r="C34" t="s">
        <v>258</v>
      </c>
      <c r="F34" t="s">
        <v>774</v>
      </c>
    </row>
    <row r="38" spans="2:6">
      <c r="B38" t="s">
        <v>237</v>
      </c>
    </row>
    <row r="39" spans="2:6">
      <c r="B39" t="s">
        <v>212</v>
      </c>
    </row>
    <row r="42" spans="2:6">
      <c r="B42" s="232" t="s">
        <v>237</v>
      </c>
    </row>
    <row r="45" spans="2:6">
      <c r="B45" t="s">
        <v>219</v>
      </c>
    </row>
    <row r="46" spans="2:6">
      <c r="B46" t="s">
        <v>689</v>
      </c>
    </row>
    <row r="47" spans="2:6">
      <c r="B47" t="s">
        <v>221</v>
      </c>
    </row>
    <row r="49" spans="2:2">
      <c r="B49" t="s">
        <v>504</v>
      </c>
    </row>
    <row r="50" spans="2:2">
      <c r="B50" t="s">
        <v>690</v>
      </c>
    </row>
    <row r="51" spans="2:2">
      <c r="B51" t="s">
        <v>228</v>
      </c>
    </row>
  </sheetData>
  <phoneticPr fontId="13" type="noConversion"/>
  <conditionalFormatting sqref="B42">
    <cfRule type="cellIs" dxfId="1" priority="1" operator="equal">
      <formula>"Yes"</formula>
    </cfRule>
    <cfRule type="cellIs" dxfId="0" priority="2" operator="equal">
      <formula>"No"</formula>
    </cfRule>
  </conditionalFormatting>
  <dataValidations count="1">
    <dataValidation type="list" allowBlank="1" showInputMessage="1" showErrorMessage="1" sqref="B42" xr:uid="{73EBA053-C5ED-4FF8-9C9C-2FBF4BF78FB4}">
      <formula1>$B$38:$B$39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4E3A-2FF3-744C-9E1F-FBDC65EE282B}">
  <dimension ref="A1:M52"/>
  <sheetViews>
    <sheetView topLeftCell="B16" workbookViewId="0">
      <selection activeCell="L37" sqref="L37"/>
    </sheetView>
  </sheetViews>
  <sheetFormatPr defaultColWidth="11.07421875" defaultRowHeight="14.6"/>
  <cols>
    <col min="3" max="3" width="15.69140625" bestFit="1" customWidth="1"/>
    <col min="12" max="12" width="40.69140625" bestFit="1" customWidth="1"/>
  </cols>
  <sheetData>
    <row r="1" spans="1:13">
      <c r="D1" t="s">
        <v>78</v>
      </c>
    </row>
    <row r="2" spans="1:13" ht="15" thickBot="1"/>
    <row r="3" spans="1:13" ht="15" thickBot="1">
      <c r="B3" t="s">
        <v>1435</v>
      </c>
      <c r="C3" s="171" t="s">
        <v>1436</v>
      </c>
      <c r="D3" t="s">
        <v>1444</v>
      </c>
    </row>
    <row r="4" spans="1:13" ht="15" thickBot="1">
      <c r="B4" t="s">
        <v>1437</v>
      </c>
      <c r="C4" s="171" t="s">
        <v>1436</v>
      </c>
      <c r="D4" t="s">
        <v>1445</v>
      </c>
    </row>
    <row r="5" spans="1:13" ht="15" thickBot="1">
      <c r="B5" t="s">
        <v>1438</v>
      </c>
      <c r="C5" s="171" t="s">
        <v>1436</v>
      </c>
    </row>
    <row r="6" spans="1:13" ht="15" thickBot="1">
      <c r="B6" t="s">
        <v>1439</v>
      </c>
      <c r="C6" s="171" t="s">
        <v>1436</v>
      </c>
    </row>
    <row r="7" spans="1:13" ht="15" thickBot="1">
      <c r="B7" t="s">
        <v>1442</v>
      </c>
      <c r="C7" s="171" t="s">
        <v>1436</v>
      </c>
      <c r="L7" t="s">
        <v>1456</v>
      </c>
      <c r="M7" t="s">
        <v>1457</v>
      </c>
    </row>
    <row r="8" spans="1:13" ht="15" thickBot="1">
      <c r="B8" t="s">
        <v>1440</v>
      </c>
      <c r="C8" s="171" t="s">
        <v>1436</v>
      </c>
      <c r="L8" t="s">
        <v>1455</v>
      </c>
      <c r="M8" t="s">
        <v>1458</v>
      </c>
    </row>
    <row r="9" spans="1:13" ht="18" thickBot="1">
      <c r="B9" t="s">
        <v>1441</v>
      </c>
      <c r="C9" s="171" t="s">
        <v>1436</v>
      </c>
      <c r="L9" s="372" t="s">
        <v>1459</v>
      </c>
      <c r="M9" t="s">
        <v>1446</v>
      </c>
    </row>
    <row r="10" spans="1:13" ht="18" thickBot="1">
      <c r="B10" t="s">
        <v>1443</v>
      </c>
      <c r="C10" s="171" t="s">
        <v>1436</v>
      </c>
      <c r="L10" s="372" t="s">
        <v>1460</v>
      </c>
      <c r="M10" t="s">
        <v>1446</v>
      </c>
    </row>
    <row r="11" spans="1:13" ht="17.600000000000001">
      <c r="L11" s="372" t="s">
        <v>250</v>
      </c>
      <c r="M11" t="s">
        <v>1461</v>
      </c>
    </row>
    <row r="16" spans="1:13">
      <c r="A16">
        <v>1</v>
      </c>
      <c r="B16" t="s">
        <v>1446</v>
      </c>
    </row>
    <row r="17" spans="1:13">
      <c r="A17">
        <v>2</v>
      </c>
      <c r="B17" t="s">
        <v>763</v>
      </c>
    </row>
    <row r="18" spans="1:13">
      <c r="A18">
        <v>3</v>
      </c>
      <c r="B18" t="s">
        <v>1447</v>
      </c>
    </row>
    <row r="19" spans="1:13">
      <c r="A19">
        <v>4</v>
      </c>
      <c r="B19" t="s">
        <v>1448</v>
      </c>
    </row>
    <row r="20" spans="1:13">
      <c r="A20">
        <v>5</v>
      </c>
      <c r="B20" t="s">
        <v>232</v>
      </c>
    </row>
    <row r="21" spans="1:13">
      <c r="A21">
        <v>6</v>
      </c>
      <c r="B21" t="s">
        <v>1449</v>
      </c>
      <c r="C21" t="s">
        <v>1453</v>
      </c>
    </row>
    <row r="22" spans="1:13">
      <c r="A22">
        <v>7</v>
      </c>
      <c r="B22" t="s">
        <v>1450</v>
      </c>
      <c r="L22" t="s">
        <v>1491</v>
      </c>
      <c r="M22" t="s">
        <v>1462</v>
      </c>
    </row>
    <row r="23" spans="1:13">
      <c r="A23">
        <v>8</v>
      </c>
      <c r="B23" t="s">
        <v>1451</v>
      </c>
      <c r="L23" t="s">
        <v>622</v>
      </c>
      <c r="M23" t="s">
        <v>1463</v>
      </c>
    </row>
    <row r="24" spans="1:13">
      <c r="A24">
        <v>9</v>
      </c>
      <c r="B24" t="s">
        <v>1452</v>
      </c>
      <c r="C24" t="s">
        <v>1454</v>
      </c>
      <c r="L24" t="s">
        <v>545</v>
      </c>
      <c r="M24" t="s">
        <v>1464</v>
      </c>
    </row>
    <row r="25" spans="1:13">
      <c r="M25" t="s">
        <v>1465</v>
      </c>
    </row>
    <row r="26" spans="1:13">
      <c r="L26" t="s">
        <v>457</v>
      </c>
      <c r="M26" t="s">
        <v>1466</v>
      </c>
    </row>
    <row r="27" spans="1:13">
      <c r="L27" t="s">
        <v>1492</v>
      </c>
      <c r="M27" t="s">
        <v>1467</v>
      </c>
    </row>
    <row r="28" spans="1:13">
      <c r="L28" t="s">
        <v>1493</v>
      </c>
      <c r="M28" t="s">
        <v>1468</v>
      </c>
    </row>
    <row r="29" spans="1:13">
      <c r="L29" t="s">
        <v>344</v>
      </c>
      <c r="M29" t="s">
        <v>1469</v>
      </c>
    </row>
    <row r="30" spans="1:13">
      <c r="M30" t="s">
        <v>1470</v>
      </c>
    </row>
    <row r="31" spans="1:13">
      <c r="L31" t="s">
        <v>1503</v>
      </c>
      <c r="M31" t="s">
        <v>1471</v>
      </c>
    </row>
    <row r="32" spans="1:13">
      <c r="L32" t="s">
        <v>1504</v>
      </c>
      <c r="M32" t="s">
        <v>1472</v>
      </c>
    </row>
    <row r="33" spans="12:13">
      <c r="L33" t="s">
        <v>1395</v>
      </c>
      <c r="M33" t="s">
        <v>1473</v>
      </c>
    </row>
    <row r="34" spans="12:13">
      <c r="L34" t="s">
        <v>1406</v>
      </c>
      <c r="M34" t="s">
        <v>1474</v>
      </c>
    </row>
    <row r="35" spans="12:13">
      <c r="L35" t="s">
        <v>1494</v>
      </c>
      <c r="M35" t="s">
        <v>1475</v>
      </c>
    </row>
    <row r="36" spans="12:13">
      <c r="L36" t="s">
        <v>444</v>
      </c>
      <c r="M36" t="s">
        <v>1476</v>
      </c>
    </row>
    <row r="37" spans="12:13">
      <c r="M37" t="s">
        <v>1477</v>
      </c>
    </row>
    <row r="38" spans="12:13">
      <c r="L38" t="s">
        <v>318</v>
      </c>
      <c r="M38" t="s">
        <v>1478</v>
      </c>
    </row>
    <row r="39" spans="12:13">
      <c r="L39" t="s">
        <v>691</v>
      </c>
      <c r="M39" t="s">
        <v>1479</v>
      </c>
    </row>
    <row r="40" spans="12:13">
      <c r="L40" t="s">
        <v>696</v>
      </c>
      <c r="M40" t="s">
        <v>1480</v>
      </c>
    </row>
    <row r="41" spans="12:13">
      <c r="L41" t="s">
        <v>1495</v>
      </c>
      <c r="M41" t="s">
        <v>1481</v>
      </c>
    </row>
    <row r="42" spans="12:13">
      <c r="L42" t="s">
        <v>1496</v>
      </c>
      <c r="M42" t="s">
        <v>1482</v>
      </c>
    </row>
    <row r="43" spans="12:13">
      <c r="L43" t="s">
        <v>1497</v>
      </c>
      <c r="M43" t="s">
        <v>1483</v>
      </c>
    </row>
    <row r="44" spans="12:13">
      <c r="L44" t="s">
        <v>1498</v>
      </c>
      <c r="M44" t="s">
        <v>1484</v>
      </c>
    </row>
    <row r="46" spans="12:13">
      <c r="M46" t="s">
        <v>1485</v>
      </c>
    </row>
    <row r="48" spans="12:13">
      <c r="L48" t="s">
        <v>1499</v>
      </c>
      <c r="M48" t="s">
        <v>1486</v>
      </c>
    </row>
    <row r="49" spans="12:13">
      <c r="M49" t="s">
        <v>1487</v>
      </c>
    </row>
    <row r="50" spans="12:13">
      <c r="L50" t="s">
        <v>1500</v>
      </c>
      <c r="M50" t="s">
        <v>1488</v>
      </c>
    </row>
    <row r="51" spans="12:13">
      <c r="L51" t="s">
        <v>1501</v>
      </c>
      <c r="M51" t="s">
        <v>1489</v>
      </c>
    </row>
    <row r="52" spans="12:13">
      <c r="L52" t="s">
        <v>1502</v>
      </c>
      <c r="M52" t="s">
        <v>1490</v>
      </c>
    </row>
  </sheetData>
  <pageMargins left="0.7" right="0.7" top="0.75" bottom="0.75" header="0.3" footer="0.3"/>
  <pageSetup paperSize="9"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DB9A7-C937-4941-8FBC-D31FC9ABC549}">
  <dimension ref="A1:H32"/>
  <sheetViews>
    <sheetView zoomScale="118" zoomScaleNormal="118" workbookViewId="0">
      <selection activeCell="G19" sqref="B19:G20"/>
    </sheetView>
  </sheetViews>
  <sheetFormatPr defaultColWidth="8.69140625" defaultRowHeight="15.9" outlineLevelRow="1"/>
  <cols>
    <col min="1" max="1" width="36" style="170" customWidth="1"/>
    <col min="2" max="2" width="58" style="168" customWidth="1"/>
    <col min="3" max="3" width="11.69140625" style="168" customWidth="1"/>
    <col min="4" max="4" width="8.69140625" style="295"/>
    <col min="5" max="5" width="15.3046875" style="301" customWidth="1"/>
    <col min="6" max="6" width="24.69140625" style="301" customWidth="1"/>
    <col min="7" max="7" width="16.3046875" style="168" customWidth="1"/>
    <col min="8" max="16384" width="8.69140625" style="168"/>
  </cols>
  <sheetData>
    <row r="1" spans="1:8" s="169" customFormat="1">
      <c r="A1" s="226" t="s">
        <v>0</v>
      </c>
      <c r="B1" s="226" t="s">
        <v>721</v>
      </c>
      <c r="C1" s="226" t="s">
        <v>722</v>
      </c>
      <c r="D1" s="306" t="s">
        <v>723</v>
      </c>
      <c r="E1" s="226" t="s">
        <v>724</v>
      </c>
      <c r="F1" s="226" t="s">
        <v>725</v>
      </c>
      <c r="G1" s="226" t="s">
        <v>726</v>
      </c>
      <c r="H1" s="226"/>
    </row>
    <row r="2" spans="1:8">
      <c r="A2" s="227"/>
      <c r="B2"/>
      <c r="C2"/>
      <c r="D2" s="307"/>
      <c r="E2" s="93"/>
      <c r="F2" s="93"/>
      <c r="G2"/>
      <c r="H2"/>
    </row>
    <row r="3" spans="1:8">
      <c r="A3" s="227" t="s">
        <v>727</v>
      </c>
      <c r="B3" s="29" t="s">
        <v>728</v>
      </c>
      <c r="C3" t="s">
        <v>251</v>
      </c>
      <c r="D3" s="307" t="s">
        <v>252</v>
      </c>
      <c r="E3" s="93">
        <v>767243550</v>
      </c>
      <c r="F3" s="93" t="s">
        <v>729</v>
      </c>
      <c r="G3"/>
      <c r="H3"/>
    </row>
    <row r="4" spans="1:8">
      <c r="A4" s="227"/>
      <c r="B4" s="308" t="s">
        <v>728</v>
      </c>
      <c r="C4" s="308" t="s">
        <v>730</v>
      </c>
      <c r="D4" s="298" t="s">
        <v>341</v>
      </c>
      <c r="E4" s="311">
        <v>709783</v>
      </c>
      <c r="F4" s="309">
        <v>45415</v>
      </c>
      <c r="G4"/>
      <c r="H4"/>
    </row>
    <row r="5" spans="1:8">
      <c r="A5" s="227"/>
      <c r="B5"/>
      <c r="C5"/>
      <c r="D5" s="296"/>
      <c r="E5" s="93"/>
      <c r="F5" s="93"/>
      <c r="G5"/>
      <c r="H5"/>
    </row>
    <row r="6" spans="1:8">
      <c r="A6" s="227"/>
      <c r="B6" t="s">
        <v>731</v>
      </c>
      <c r="C6" t="s">
        <v>251</v>
      </c>
      <c r="D6" s="307">
        <v>84435</v>
      </c>
      <c r="E6" s="93">
        <v>959276787</v>
      </c>
      <c r="F6" s="93" t="s">
        <v>732</v>
      </c>
      <c r="G6"/>
      <c r="H6"/>
    </row>
    <row r="7" spans="1:8">
      <c r="A7" s="227"/>
      <c r="B7" t="s">
        <v>731</v>
      </c>
      <c r="C7" t="s">
        <v>254</v>
      </c>
      <c r="D7" s="307">
        <v>83052</v>
      </c>
      <c r="E7" s="93">
        <v>305383521</v>
      </c>
      <c r="F7" s="93"/>
      <c r="G7"/>
      <c r="H7"/>
    </row>
    <row r="8" spans="1:8" s="291" customFormat="1">
      <c r="A8" s="313"/>
      <c r="B8" s="14" t="s">
        <v>733</v>
      </c>
      <c r="C8" s="14" t="s">
        <v>730</v>
      </c>
      <c r="D8" s="315" t="s">
        <v>341</v>
      </c>
      <c r="E8" s="44">
        <v>699669</v>
      </c>
      <c r="F8" s="44" t="s">
        <v>734</v>
      </c>
      <c r="G8" s="14"/>
      <c r="H8" s="14"/>
    </row>
    <row r="9" spans="1:8">
      <c r="A9" s="227"/>
      <c r="B9" s="308"/>
      <c r="C9" s="308" t="s">
        <v>735</v>
      </c>
      <c r="D9" s="310"/>
      <c r="E9" s="311">
        <v>6864378</v>
      </c>
      <c r="F9" s="311" t="s">
        <v>736</v>
      </c>
      <c r="G9"/>
      <c r="H9"/>
    </row>
    <row r="10" spans="1:8">
      <c r="A10" s="227"/>
      <c r="B10"/>
      <c r="C10"/>
      <c r="D10" s="307"/>
      <c r="E10" s="93"/>
      <c r="F10" s="93"/>
      <c r="G10"/>
      <c r="H10"/>
    </row>
    <row r="11" spans="1:8">
      <c r="A11" s="227" t="s">
        <v>737</v>
      </c>
      <c r="B11" t="s">
        <v>157</v>
      </c>
      <c r="C11" t="s">
        <v>254</v>
      </c>
      <c r="D11" s="307" t="s">
        <v>255</v>
      </c>
      <c r="E11" s="93">
        <v>304656703</v>
      </c>
      <c r="F11" s="140">
        <v>43872</v>
      </c>
      <c r="G11"/>
      <c r="H11"/>
    </row>
    <row r="12" spans="1:8">
      <c r="A12" s="227"/>
      <c r="B12"/>
      <c r="C12"/>
      <c r="D12" s="307"/>
      <c r="E12" s="93"/>
      <c r="F12" s="93"/>
      <c r="G12"/>
      <c r="H12"/>
    </row>
    <row r="13" spans="1:8">
      <c r="A13" s="227"/>
      <c r="B13"/>
      <c r="C13"/>
      <c r="D13" s="307"/>
      <c r="E13" s="93"/>
      <c r="F13" s="93"/>
      <c r="G13"/>
      <c r="H13"/>
    </row>
    <row r="14" spans="1:8">
      <c r="A14" s="227"/>
      <c r="B14"/>
      <c r="C14"/>
      <c r="D14" s="307"/>
      <c r="E14" s="93"/>
      <c r="F14" s="93"/>
      <c r="G14"/>
      <c r="H14"/>
    </row>
    <row r="15" spans="1:8">
      <c r="A15" s="312" t="s">
        <v>738</v>
      </c>
      <c r="B15" t="s">
        <v>161</v>
      </c>
      <c r="C15" t="s">
        <v>254</v>
      </c>
      <c r="D15" s="307" t="s">
        <v>255</v>
      </c>
      <c r="E15" s="93">
        <v>305422840</v>
      </c>
      <c r="F15" s="93"/>
      <c r="G15"/>
      <c r="H15"/>
    </row>
    <row r="16" spans="1:8">
      <c r="A16" s="227"/>
      <c r="B16" s="308" t="s">
        <v>161</v>
      </c>
      <c r="C16" s="308" t="s">
        <v>251</v>
      </c>
      <c r="D16" s="310" t="s">
        <v>252</v>
      </c>
      <c r="E16" s="311">
        <v>259449309</v>
      </c>
      <c r="F16" s="311" t="s">
        <v>739</v>
      </c>
      <c r="G16"/>
      <c r="H16"/>
    </row>
    <row r="17" spans="1:8">
      <c r="A17" s="227"/>
      <c r="B17" t="s">
        <v>178</v>
      </c>
      <c r="C17" t="s">
        <v>251</v>
      </c>
      <c r="D17" s="307" t="s">
        <v>252</v>
      </c>
      <c r="E17" s="93">
        <v>513642009</v>
      </c>
      <c r="F17" s="93" t="s">
        <v>740</v>
      </c>
      <c r="G17"/>
      <c r="H17"/>
    </row>
    <row r="18" spans="1:8">
      <c r="A18" s="313"/>
      <c r="B18" t="s">
        <v>178</v>
      </c>
      <c r="C18" t="s">
        <v>254</v>
      </c>
      <c r="D18" s="307" t="s">
        <v>255</v>
      </c>
      <c r="E18" s="93">
        <v>304658188</v>
      </c>
      <c r="F18" s="93"/>
      <c r="G18"/>
      <c r="H18"/>
    </row>
    <row r="19" spans="1:8" hidden="1" outlineLevel="1">
      <c r="A19" s="227"/>
      <c r="B19" t="s">
        <v>178</v>
      </c>
      <c r="C19" t="s">
        <v>741</v>
      </c>
      <c r="D19" s="307">
        <v>124034</v>
      </c>
      <c r="E19" s="93">
        <v>21446327</v>
      </c>
      <c r="F19" s="93"/>
      <c r="G19" s="93" t="s">
        <v>742</v>
      </c>
      <c r="H19"/>
    </row>
    <row r="20" spans="1:8" hidden="1" outlineLevel="1">
      <c r="A20" s="227"/>
      <c r="B20" s="308" t="s">
        <v>743</v>
      </c>
      <c r="C20" s="308" t="s">
        <v>741</v>
      </c>
      <c r="D20" s="310">
        <v>124034</v>
      </c>
      <c r="E20" s="311">
        <v>23084038</v>
      </c>
      <c r="F20" s="311" t="s">
        <v>744</v>
      </c>
      <c r="G20" s="140">
        <v>45268</v>
      </c>
      <c r="H20"/>
    </row>
    <row r="21" spans="1:8" collapsed="1">
      <c r="A21" s="227"/>
      <c r="B21"/>
      <c r="C21"/>
      <c r="D21" s="307"/>
      <c r="E21" s="93"/>
      <c r="F21" s="93"/>
      <c r="G21"/>
      <c r="H21"/>
    </row>
    <row r="22" spans="1:8">
      <c r="A22" s="227" t="s">
        <v>745</v>
      </c>
      <c r="B22" t="s">
        <v>505</v>
      </c>
      <c r="C22" t="s">
        <v>251</v>
      </c>
      <c r="D22" s="307">
        <v>84435</v>
      </c>
      <c r="E22" s="93">
        <v>199211357</v>
      </c>
      <c r="F22" s="93" t="s">
        <v>746</v>
      </c>
      <c r="G22"/>
      <c r="H22"/>
    </row>
    <row r="23" spans="1:8">
      <c r="A23" s="227"/>
      <c r="B23" s="308"/>
      <c r="C23" s="308" t="s">
        <v>730</v>
      </c>
      <c r="D23" s="310" t="s">
        <v>341</v>
      </c>
      <c r="E23" s="316">
        <v>699618</v>
      </c>
      <c r="F23" s="311" t="s">
        <v>734</v>
      </c>
      <c r="G23"/>
      <c r="H23"/>
    </row>
    <row r="24" spans="1:8">
      <c r="A24" s="227"/>
      <c r="B24" s="299" t="s">
        <v>747</v>
      </c>
      <c r="C24" t="s">
        <v>251</v>
      </c>
      <c r="D24" s="307">
        <v>84435</v>
      </c>
      <c r="E24" s="93">
        <v>922875532</v>
      </c>
      <c r="F24" s="93" t="s">
        <v>748</v>
      </c>
      <c r="G24"/>
      <c r="H24"/>
    </row>
    <row r="25" spans="1:8">
      <c r="A25" s="227"/>
      <c r="B25" s="314"/>
      <c r="C25" s="308" t="s">
        <v>730</v>
      </c>
      <c r="D25" s="310" t="s">
        <v>341</v>
      </c>
      <c r="E25" s="311">
        <v>699626</v>
      </c>
      <c r="F25" s="311" t="s">
        <v>734</v>
      </c>
      <c r="G25"/>
      <c r="H25"/>
    </row>
    <row r="26" spans="1:8">
      <c r="A26" s="227"/>
      <c r="B26" t="s">
        <v>749</v>
      </c>
      <c r="C26" t="s">
        <v>251</v>
      </c>
      <c r="D26" s="307">
        <v>84435</v>
      </c>
      <c r="E26" s="93">
        <v>302971208</v>
      </c>
      <c r="F26" s="93" t="s">
        <v>750</v>
      </c>
      <c r="G26"/>
      <c r="H26"/>
    </row>
    <row r="27" spans="1:8">
      <c r="A27" s="227"/>
      <c r="B27" s="308"/>
      <c r="C27" s="308" t="s">
        <v>730</v>
      </c>
      <c r="D27" s="310" t="s">
        <v>341</v>
      </c>
      <c r="E27" s="311">
        <v>702733</v>
      </c>
      <c r="F27" s="309">
        <v>45566</v>
      </c>
      <c r="G27"/>
      <c r="H27"/>
    </row>
    <row r="28" spans="1:8">
      <c r="A28" s="227"/>
      <c r="B28" t="s">
        <v>612</v>
      </c>
      <c r="C28" t="s">
        <v>751</v>
      </c>
      <c r="D28" s="14" t="s">
        <v>619</v>
      </c>
      <c r="E28" s="317">
        <v>268693995</v>
      </c>
      <c r="F28" s="44" t="s">
        <v>620</v>
      </c>
      <c r="G28"/>
      <c r="H28"/>
    </row>
    <row r="29" spans="1:8">
      <c r="A29" s="227"/>
      <c r="B29" s="308"/>
      <c r="C29" s="308" t="s">
        <v>730</v>
      </c>
      <c r="D29" s="310" t="s">
        <v>341</v>
      </c>
      <c r="E29" s="311">
        <v>699642</v>
      </c>
      <c r="F29" s="311" t="s">
        <v>734</v>
      </c>
      <c r="G29"/>
      <c r="H29"/>
    </row>
    <row r="30" spans="1:8">
      <c r="A30" s="227"/>
      <c r="B30"/>
      <c r="C30"/>
      <c r="D30" s="307"/>
      <c r="E30" s="93"/>
      <c r="F30" s="93"/>
      <c r="G30"/>
      <c r="H30"/>
    </row>
    <row r="31" spans="1:8">
      <c r="A31" s="227" t="s">
        <v>611</v>
      </c>
      <c r="B31" t="s">
        <v>611</v>
      </c>
      <c r="C31" t="s">
        <v>752</v>
      </c>
      <c r="D31" s="307">
        <v>124034</v>
      </c>
      <c r="E31" s="93">
        <v>23084038</v>
      </c>
      <c r="F31" s="93"/>
      <c r="G31"/>
      <c r="H31"/>
    </row>
    <row r="32" spans="1:8">
      <c r="A32" s="227"/>
      <c r="B32" t="s">
        <v>753</v>
      </c>
      <c r="C32" t="s">
        <v>752</v>
      </c>
      <c r="D32" s="307">
        <v>124034</v>
      </c>
      <c r="E32" s="93">
        <v>23078385</v>
      </c>
      <c r="F32" s="93"/>
      <c r="G32"/>
      <c r="H32"/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D34E-A42A-4DEA-9906-693E6DA78DE2}">
  <dimension ref="A1:R212"/>
  <sheetViews>
    <sheetView topLeftCell="B1" zoomScale="140" zoomScaleNormal="140" workbookViewId="0">
      <selection activeCell="D37" sqref="D37"/>
    </sheetView>
  </sheetViews>
  <sheetFormatPr defaultColWidth="8.69140625" defaultRowHeight="14.6"/>
  <cols>
    <col min="1" max="1" width="24.3046875" customWidth="1"/>
    <col min="2" max="2" width="14.69140625" bestFit="1" customWidth="1"/>
    <col min="3" max="3" width="41.69140625" bestFit="1" customWidth="1"/>
    <col min="4" max="4" width="18" bestFit="1" customWidth="1"/>
    <col min="12" max="12" width="12.3046875" style="112" bestFit="1" customWidth="1"/>
    <col min="13" max="13" width="21.3046875" style="112" customWidth="1"/>
    <col min="16" max="16" width="13.3046875" bestFit="1" customWidth="1"/>
    <col min="17" max="17" width="13.69140625" style="112" bestFit="1" customWidth="1"/>
    <col min="18" max="18" width="13.3046875" bestFit="1" customWidth="1"/>
  </cols>
  <sheetData>
    <row r="1" spans="1:11">
      <c r="A1" t="s">
        <v>775</v>
      </c>
      <c r="B1" t="s">
        <v>776</v>
      </c>
      <c r="C1" t="s">
        <v>777</v>
      </c>
      <c r="D1" t="s">
        <v>778</v>
      </c>
    </row>
    <row r="2" spans="1:11">
      <c r="B2">
        <v>101</v>
      </c>
      <c r="C2" t="s">
        <v>248</v>
      </c>
      <c r="D2" t="s">
        <v>248</v>
      </c>
    </row>
    <row r="3" spans="1:11">
      <c r="B3">
        <v>102</v>
      </c>
      <c r="C3" t="s">
        <v>248</v>
      </c>
      <c r="D3" t="s">
        <v>248</v>
      </c>
    </row>
    <row r="4" spans="1:11">
      <c r="B4">
        <v>103</v>
      </c>
      <c r="C4" t="s">
        <v>248</v>
      </c>
      <c r="D4" t="s">
        <v>248</v>
      </c>
    </row>
    <row r="5" spans="1:11">
      <c r="B5">
        <v>104</v>
      </c>
      <c r="C5" t="s">
        <v>248</v>
      </c>
      <c r="D5" t="s">
        <v>248</v>
      </c>
    </row>
    <row r="6" spans="1:11">
      <c r="B6">
        <v>105</v>
      </c>
      <c r="C6" t="s">
        <v>248</v>
      </c>
      <c r="D6" t="s">
        <v>248</v>
      </c>
    </row>
    <row r="7" spans="1:11">
      <c r="B7">
        <v>106</v>
      </c>
      <c r="C7" t="s">
        <v>248</v>
      </c>
      <c r="D7" t="s">
        <v>248</v>
      </c>
    </row>
    <row r="8" spans="1:11">
      <c r="B8">
        <v>107</v>
      </c>
      <c r="C8" t="s">
        <v>248</v>
      </c>
      <c r="D8" t="s">
        <v>248</v>
      </c>
    </row>
    <row r="9" spans="1:11">
      <c r="B9">
        <v>108</v>
      </c>
      <c r="C9" t="s">
        <v>248</v>
      </c>
      <c r="D9" t="s">
        <v>248</v>
      </c>
    </row>
    <row r="10" spans="1:11">
      <c r="A10">
        <v>22892</v>
      </c>
      <c r="B10">
        <v>109</v>
      </c>
      <c r="C10" t="s">
        <v>248</v>
      </c>
      <c r="D10" t="s">
        <v>248</v>
      </c>
      <c r="J10">
        <v>718114</v>
      </c>
      <c r="K10">
        <f>J10*0.01</f>
        <v>7181.14</v>
      </c>
    </row>
    <row r="11" spans="1:11">
      <c r="A11">
        <v>1229</v>
      </c>
      <c r="B11">
        <v>110</v>
      </c>
      <c r="C11" t="s">
        <v>779</v>
      </c>
      <c r="D11" t="s">
        <v>248</v>
      </c>
    </row>
    <row r="12" spans="1:11">
      <c r="A12">
        <f>A10+A11</f>
        <v>24121</v>
      </c>
      <c r="B12">
        <v>111</v>
      </c>
      <c r="C12" t="s">
        <v>780</v>
      </c>
      <c r="D12" t="s">
        <v>781</v>
      </c>
    </row>
    <row r="13" spans="1:11">
      <c r="B13">
        <v>112</v>
      </c>
      <c r="C13" t="s">
        <v>782</v>
      </c>
      <c r="D13" t="s">
        <v>781</v>
      </c>
    </row>
    <row r="14" spans="1:11">
      <c r="B14">
        <v>115</v>
      </c>
      <c r="C14" t="s">
        <v>783</v>
      </c>
      <c r="D14" t="s">
        <v>781</v>
      </c>
    </row>
    <row r="15" spans="1:11">
      <c r="B15">
        <v>121</v>
      </c>
      <c r="C15" t="s">
        <v>784</v>
      </c>
      <c r="D15" t="s">
        <v>781</v>
      </c>
    </row>
    <row r="16" spans="1:11">
      <c r="B16">
        <v>122</v>
      </c>
      <c r="C16" t="s">
        <v>785</v>
      </c>
      <c r="D16" t="s">
        <v>781</v>
      </c>
    </row>
    <row r="17" spans="2:10">
      <c r="B17">
        <v>130</v>
      </c>
      <c r="C17" t="s">
        <v>786</v>
      </c>
      <c r="D17" t="s">
        <v>781</v>
      </c>
    </row>
    <row r="18" spans="2:10">
      <c r="B18">
        <v>131</v>
      </c>
      <c r="C18" t="s">
        <v>787</v>
      </c>
      <c r="D18" t="s">
        <v>781</v>
      </c>
    </row>
    <row r="19" spans="2:10">
      <c r="B19">
        <v>132</v>
      </c>
      <c r="C19" t="s">
        <v>788</v>
      </c>
      <c r="D19" t="s">
        <v>781</v>
      </c>
    </row>
    <row r="20" spans="2:10">
      <c r="B20">
        <v>650</v>
      </c>
      <c r="C20" t="s">
        <v>789</v>
      </c>
      <c r="D20" t="s">
        <v>790</v>
      </c>
    </row>
    <row r="21" spans="2:10">
      <c r="B21">
        <v>6501</v>
      </c>
      <c r="C21" t="s">
        <v>686</v>
      </c>
      <c r="D21" t="s">
        <v>790</v>
      </c>
    </row>
    <row r="22" spans="2:10">
      <c r="B22">
        <v>6502</v>
      </c>
      <c r="C22" t="s">
        <v>791</v>
      </c>
      <c r="D22" t="s">
        <v>790</v>
      </c>
    </row>
    <row r="23" spans="2:10">
      <c r="B23">
        <v>6503</v>
      </c>
      <c r="C23" t="s">
        <v>792</v>
      </c>
      <c r="D23" t="s">
        <v>790</v>
      </c>
    </row>
    <row r="24" spans="2:10">
      <c r="B24">
        <v>651</v>
      </c>
      <c r="C24" t="s">
        <v>793</v>
      </c>
      <c r="D24" t="s">
        <v>790</v>
      </c>
    </row>
    <row r="25" spans="2:10">
      <c r="B25">
        <v>660</v>
      </c>
      <c r="C25" t="s">
        <v>794</v>
      </c>
      <c r="D25" t="s">
        <v>790</v>
      </c>
      <c r="J25" t="s">
        <v>795</v>
      </c>
    </row>
    <row r="26" spans="2:10">
      <c r="B26">
        <v>670</v>
      </c>
      <c r="C26" t="s">
        <v>796</v>
      </c>
      <c r="D26" t="s">
        <v>790</v>
      </c>
    </row>
    <row r="27" spans="2:10">
      <c r="B27">
        <v>671</v>
      </c>
      <c r="C27" t="s">
        <v>797</v>
      </c>
      <c r="D27" t="s">
        <v>790</v>
      </c>
    </row>
    <row r="28" spans="2:10">
      <c r="B28">
        <v>675</v>
      </c>
      <c r="C28" t="s">
        <v>798</v>
      </c>
      <c r="D28" t="s">
        <v>790</v>
      </c>
    </row>
    <row r="29" spans="2:10">
      <c r="B29">
        <v>677</v>
      </c>
      <c r="C29" t="s">
        <v>799</v>
      </c>
      <c r="D29" t="s">
        <v>790</v>
      </c>
    </row>
    <row r="30" spans="2:10">
      <c r="B30">
        <v>678</v>
      </c>
      <c r="C30" t="s">
        <v>800</v>
      </c>
      <c r="D30" t="s">
        <v>790</v>
      </c>
    </row>
    <row r="31" spans="2:10">
      <c r="B31">
        <v>679</v>
      </c>
      <c r="C31" t="s">
        <v>801</v>
      </c>
      <c r="D31" t="s">
        <v>790</v>
      </c>
    </row>
    <row r="32" spans="2:10">
      <c r="B32">
        <v>680</v>
      </c>
      <c r="C32" t="s">
        <v>802</v>
      </c>
      <c r="D32" t="s">
        <v>790</v>
      </c>
    </row>
    <row r="33" spans="2:4">
      <c r="B33">
        <v>681</v>
      </c>
      <c r="C33" t="s">
        <v>803</v>
      </c>
      <c r="D33" t="s">
        <v>790</v>
      </c>
    </row>
    <row r="34" spans="2:4">
      <c r="B34">
        <v>682</v>
      </c>
      <c r="C34" t="s">
        <v>804</v>
      </c>
      <c r="D34" t="s">
        <v>790</v>
      </c>
    </row>
    <row r="35" spans="2:4">
      <c r="B35">
        <v>683</v>
      </c>
      <c r="C35" t="s">
        <v>805</v>
      </c>
      <c r="D35" t="s">
        <v>790</v>
      </c>
    </row>
    <row r="36" spans="2:4">
      <c r="B36">
        <v>725</v>
      </c>
      <c r="C36" t="s">
        <v>1334</v>
      </c>
      <c r="D36" t="s">
        <v>1335</v>
      </c>
    </row>
    <row r="38" spans="2:4">
      <c r="B38">
        <v>200</v>
      </c>
      <c r="C38" t="s">
        <v>806</v>
      </c>
      <c r="D38" t="s">
        <v>807</v>
      </c>
    </row>
    <row r="39" spans="2:4">
      <c r="B39">
        <v>2001</v>
      </c>
      <c r="C39" t="s">
        <v>1251</v>
      </c>
      <c r="D39" t="s">
        <v>807</v>
      </c>
    </row>
    <row r="40" spans="2:4">
      <c r="B40">
        <v>2002</v>
      </c>
      <c r="C40" t="s">
        <v>1252</v>
      </c>
      <c r="D40" t="s">
        <v>807</v>
      </c>
    </row>
    <row r="41" spans="2:4">
      <c r="B41">
        <v>2003</v>
      </c>
      <c r="C41" t="s">
        <v>1253</v>
      </c>
      <c r="D41" t="s">
        <v>807</v>
      </c>
    </row>
    <row r="42" spans="2:4">
      <c r="B42">
        <v>2004</v>
      </c>
      <c r="C42" t="s">
        <v>1255</v>
      </c>
      <c r="D42" t="s">
        <v>807</v>
      </c>
    </row>
    <row r="43" spans="2:4">
      <c r="B43">
        <v>2005</v>
      </c>
      <c r="C43" t="s">
        <v>1256</v>
      </c>
      <c r="D43" t="s">
        <v>807</v>
      </c>
    </row>
    <row r="44" spans="2:4">
      <c r="B44">
        <v>2006</v>
      </c>
      <c r="C44" t="s">
        <v>1246</v>
      </c>
      <c r="D44" t="s">
        <v>807</v>
      </c>
    </row>
    <row r="45" spans="2:4">
      <c r="B45">
        <v>2007</v>
      </c>
      <c r="C45" t="s">
        <v>1257</v>
      </c>
      <c r="D45" t="s">
        <v>807</v>
      </c>
    </row>
    <row r="46" spans="2:4">
      <c r="B46">
        <v>2008</v>
      </c>
      <c r="C46" t="s">
        <v>1254</v>
      </c>
      <c r="D46" t="s">
        <v>807</v>
      </c>
    </row>
    <row r="47" spans="2:4">
      <c r="B47">
        <v>2009</v>
      </c>
      <c r="C47" t="s">
        <v>1250</v>
      </c>
      <c r="D47" t="s">
        <v>807</v>
      </c>
    </row>
    <row r="48" spans="2:4">
      <c r="B48">
        <v>2010</v>
      </c>
      <c r="C48" t="s">
        <v>1247</v>
      </c>
      <c r="D48" t="s">
        <v>807</v>
      </c>
    </row>
    <row r="49" spans="2:4">
      <c r="B49">
        <v>2011</v>
      </c>
      <c r="C49" t="s">
        <v>1248</v>
      </c>
      <c r="D49" t="s">
        <v>807</v>
      </c>
    </row>
    <row r="50" spans="2:4">
      <c r="B50">
        <v>2012</v>
      </c>
      <c r="C50" t="s">
        <v>1249</v>
      </c>
      <c r="D50" t="s">
        <v>807</v>
      </c>
    </row>
    <row r="51" spans="2:4">
      <c r="B51">
        <v>2013</v>
      </c>
      <c r="C51" t="s">
        <v>612</v>
      </c>
      <c r="D51" t="s">
        <v>807</v>
      </c>
    </row>
    <row r="52" spans="2:4">
      <c r="B52">
        <v>2014</v>
      </c>
      <c r="C52" t="s">
        <v>1271</v>
      </c>
      <c r="D52" t="s">
        <v>807</v>
      </c>
    </row>
    <row r="53" spans="2:4">
      <c r="B53">
        <v>202</v>
      </c>
      <c r="C53" t="s">
        <v>813</v>
      </c>
      <c r="D53" t="s">
        <v>807</v>
      </c>
    </row>
    <row r="54" spans="2:4">
      <c r="B54">
        <v>203</v>
      </c>
      <c r="C54" t="s">
        <v>811</v>
      </c>
      <c r="D54" t="s">
        <v>807</v>
      </c>
    </row>
    <row r="55" spans="2:4">
      <c r="B55">
        <v>204</v>
      </c>
      <c r="C55" t="s">
        <v>810</v>
      </c>
      <c r="D55" t="s">
        <v>807</v>
      </c>
    </row>
    <row r="56" spans="2:4">
      <c r="B56">
        <v>2041</v>
      </c>
      <c r="C56" t="s">
        <v>1243</v>
      </c>
      <c r="D56" t="s">
        <v>807</v>
      </c>
    </row>
    <row r="57" spans="2:4">
      <c r="B57">
        <v>205</v>
      </c>
      <c r="C57" t="s">
        <v>812</v>
      </c>
      <c r="D57" t="s">
        <v>807</v>
      </c>
    </row>
    <row r="58" spans="2:4">
      <c r="B58">
        <v>206</v>
      </c>
      <c r="C58" t="s">
        <v>808</v>
      </c>
      <c r="D58" t="s">
        <v>807</v>
      </c>
    </row>
    <row r="59" spans="2:4">
      <c r="B59">
        <v>2061</v>
      </c>
      <c r="C59" t="s">
        <v>809</v>
      </c>
      <c r="D59" t="s">
        <v>807</v>
      </c>
    </row>
    <row r="60" spans="2:4">
      <c r="B60">
        <v>210</v>
      </c>
      <c r="C60" t="s">
        <v>814</v>
      </c>
      <c r="D60" t="s">
        <v>807</v>
      </c>
    </row>
    <row r="61" spans="2:4">
      <c r="B61">
        <v>220</v>
      </c>
      <c r="C61" t="s">
        <v>815</v>
      </c>
      <c r="D61" t="s">
        <v>807</v>
      </c>
    </row>
    <row r="62" spans="2:4">
      <c r="B62">
        <v>221</v>
      </c>
      <c r="C62" t="s">
        <v>816</v>
      </c>
      <c r="D62" t="s">
        <v>807</v>
      </c>
    </row>
    <row r="63" spans="2:4">
      <c r="B63">
        <v>225</v>
      </c>
      <c r="C63" t="s">
        <v>817</v>
      </c>
      <c r="D63" t="s">
        <v>807</v>
      </c>
    </row>
    <row r="64" spans="2:4">
      <c r="B64">
        <v>226</v>
      </c>
      <c r="C64" t="s">
        <v>818</v>
      </c>
      <c r="D64" t="s">
        <v>807</v>
      </c>
    </row>
    <row r="65" spans="2:4">
      <c r="B65">
        <v>227</v>
      </c>
      <c r="C65" t="s">
        <v>819</v>
      </c>
      <c r="D65" t="s">
        <v>807</v>
      </c>
    </row>
    <row r="66" spans="2:4">
      <c r="B66">
        <v>228</v>
      </c>
      <c r="C66" t="s">
        <v>820</v>
      </c>
      <c r="D66" t="s">
        <v>807</v>
      </c>
    </row>
    <row r="67" spans="2:4">
      <c r="B67">
        <v>229</v>
      </c>
      <c r="C67" t="s">
        <v>821</v>
      </c>
      <c r="D67" t="s">
        <v>807</v>
      </c>
    </row>
    <row r="68" spans="2:4">
      <c r="B68">
        <v>230</v>
      </c>
      <c r="C68" t="s">
        <v>822</v>
      </c>
      <c r="D68" t="s">
        <v>807</v>
      </c>
    </row>
    <row r="69" spans="2:4">
      <c r="B69">
        <v>231</v>
      </c>
      <c r="C69" t="s">
        <v>823</v>
      </c>
      <c r="D69" t="s">
        <v>807</v>
      </c>
    </row>
    <row r="70" spans="2:4">
      <c r="B70">
        <v>232</v>
      </c>
      <c r="C70" t="s">
        <v>824</v>
      </c>
      <c r="D70" t="s">
        <v>807</v>
      </c>
    </row>
    <row r="71" spans="2:4">
      <c r="B71">
        <v>233</v>
      </c>
      <c r="C71" t="s">
        <v>825</v>
      </c>
      <c r="D71" t="s">
        <v>807</v>
      </c>
    </row>
    <row r="72" spans="2:4">
      <c r="B72">
        <v>234</v>
      </c>
      <c r="C72" t="s">
        <v>826</v>
      </c>
      <c r="D72" t="s">
        <v>807</v>
      </c>
    </row>
    <row r="73" spans="2:4">
      <c r="B73">
        <v>235</v>
      </c>
      <c r="C73" t="s">
        <v>827</v>
      </c>
      <c r="D73" t="s">
        <v>807</v>
      </c>
    </row>
    <row r="74" spans="2:4">
      <c r="B74">
        <v>236</v>
      </c>
      <c r="C74" t="s">
        <v>828</v>
      </c>
      <c r="D74" t="s">
        <v>807</v>
      </c>
    </row>
    <row r="75" spans="2:4">
      <c r="B75">
        <v>237</v>
      </c>
      <c r="C75" t="s">
        <v>829</v>
      </c>
      <c r="D75" t="s">
        <v>807</v>
      </c>
    </row>
    <row r="76" spans="2:4">
      <c r="B76">
        <v>238</v>
      </c>
      <c r="C76" t="s">
        <v>830</v>
      </c>
      <c r="D76" t="s">
        <v>807</v>
      </c>
    </row>
    <row r="77" spans="2:4">
      <c r="B77">
        <v>260</v>
      </c>
      <c r="C77" t="s">
        <v>831</v>
      </c>
      <c r="D77" t="s">
        <v>807</v>
      </c>
    </row>
    <row r="78" spans="2:4">
      <c r="B78">
        <v>263</v>
      </c>
      <c r="C78" t="s">
        <v>832</v>
      </c>
      <c r="D78" t="s">
        <v>807</v>
      </c>
    </row>
    <row r="79" spans="2:4">
      <c r="B79">
        <v>265</v>
      </c>
      <c r="C79" t="s">
        <v>833</v>
      </c>
      <c r="D79" t="s">
        <v>807</v>
      </c>
    </row>
    <row r="80" spans="2:4">
      <c r="B80">
        <v>266</v>
      </c>
      <c r="C80" t="s">
        <v>834</v>
      </c>
      <c r="D80" t="s">
        <v>807</v>
      </c>
    </row>
    <row r="81" spans="2:4">
      <c r="B81">
        <v>267</v>
      </c>
      <c r="C81" t="s">
        <v>835</v>
      </c>
      <c r="D81" t="s">
        <v>807</v>
      </c>
    </row>
    <row r="82" spans="2:4">
      <c r="B82">
        <v>269</v>
      </c>
      <c r="C82" t="s">
        <v>836</v>
      </c>
      <c r="D82" t="s">
        <v>807</v>
      </c>
    </row>
    <row r="83" spans="2:4">
      <c r="B83">
        <v>270</v>
      </c>
      <c r="C83" t="s">
        <v>837</v>
      </c>
      <c r="D83" t="s">
        <v>807</v>
      </c>
    </row>
    <row r="84" spans="2:4">
      <c r="B84">
        <v>271</v>
      </c>
      <c r="C84" t="s">
        <v>838</v>
      </c>
      <c r="D84" t="s">
        <v>807</v>
      </c>
    </row>
    <row r="85" spans="2:4">
      <c r="B85">
        <v>280</v>
      </c>
      <c r="C85" t="s">
        <v>839</v>
      </c>
      <c r="D85" t="s">
        <v>807</v>
      </c>
    </row>
    <row r="86" spans="2:4">
      <c r="B86">
        <v>281</v>
      </c>
      <c r="C86" t="s">
        <v>840</v>
      </c>
      <c r="D86" t="s">
        <v>807</v>
      </c>
    </row>
    <row r="87" spans="2:4">
      <c r="B87">
        <v>282</v>
      </c>
      <c r="C87" t="s">
        <v>841</v>
      </c>
      <c r="D87" t="s">
        <v>807</v>
      </c>
    </row>
    <row r="88" spans="2:4">
      <c r="B88">
        <v>300</v>
      </c>
      <c r="C88" t="s">
        <v>842</v>
      </c>
      <c r="D88" t="s">
        <v>843</v>
      </c>
    </row>
    <row r="89" spans="2:4">
      <c r="B89">
        <v>301</v>
      </c>
      <c r="C89" t="s">
        <v>844</v>
      </c>
      <c r="D89" t="s">
        <v>843</v>
      </c>
    </row>
    <row r="90" spans="2:4">
      <c r="B90">
        <v>303</v>
      </c>
      <c r="C90" t="s">
        <v>845</v>
      </c>
      <c r="D90" t="s">
        <v>846</v>
      </c>
    </row>
    <row r="92" spans="2:4">
      <c r="B92">
        <v>317</v>
      </c>
      <c r="C92" t="s">
        <v>847</v>
      </c>
      <c r="D92" t="s">
        <v>843</v>
      </c>
    </row>
    <row r="95" spans="2:4">
      <c r="B95">
        <v>318</v>
      </c>
      <c r="C95" t="s">
        <v>848</v>
      </c>
      <c r="D95" t="s">
        <v>846</v>
      </c>
    </row>
    <row r="96" spans="2:4">
      <c r="B96">
        <v>330</v>
      </c>
      <c r="C96" t="s">
        <v>849</v>
      </c>
      <c r="D96" t="s">
        <v>846</v>
      </c>
    </row>
    <row r="97" spans="2:17">
      <c r="B97">
        <v>341</v>
      </c>
      <c r="C97" t="s">
        <v>850</v>
      </c>
      <c r="D97" t="s">
        <v>846</v>
      </c>
    </row>
    <row r="98" spans="2:17">
      <c r="B98">
        <v>351</v>
      </c>
      <c r="C98" t="s">
        <v>851</v>
      </c>
      <c r="D98" t="s">
        <v>846</v>
      </c>
    </row>
    <row r="99" spans="2:17">
      <c r="B99">
        <v>360</v>
      </c>
      <c r="C99" t="s">
        <v>852</v>
      </c>
      <c r="D99" t="s">
        <v>846</v>
      </c>
    </row>
    <row r="100" spans="2:17">
      <c r="B100">
        <v>361</v>
      </c>
      <c r="C100" t="s">
        <v>853</v>
      </c>
      <c r="D100" t="s">
        <v>846</v>
      </c>
    </row>
    <row r="101" spans="2:17">
      <c r="B101">
        <v>400</v>
      </c>
      <c r="C101" t="s">
        <v>854</v>
      </c>
      <c r="D101" t="s">
        <v>846</v>
      </c>
    </row>
    <row r="102" spans="2:17">
      <c r="B102">
        <v>404</v>
      </c>
      <c r="C102" t="s">
        <v>855</v>
      </c>
      <c r="D102" t="s">
        <v>846</v>
      </c>
    </row>
    <row r="103" spans="2:17">
      <c r="B103">
        <v>4041</v>
      </c>
      <c r="C103" t="s">
        <v>856</v>
      </c>
    </row>
    <row r="104" spans="2:17">
      <c r="B104">
        <v>405</v>
      </c>
      <c r="C104" t="s">
        <v>857</v>
      </c>
      <c r="D104" t="s">
        <v>846</v>
      </c>
    </row>
    <row r="105" spans="2:17">
      <c r="B105">
        <v>406</v>
      </c>
      <c r="C105" t="s">
        <v>858</v>
      </c>
      <c r="D105" t="s">
        <v>846</v>
      </c>
    </row>
    <row r="106" spans="2:17">
      <c r="B106">
        <v>407</v>
      </c>
      <c r="C106" t="s">
        <v>859</v>
      </c>
      <c r="D106" t="s">
        <v>846</v>
      </c>
    </row>
    <row r="107" spans="2:17">
      <c r="B107">
        <v>408</v>
      </c>
      <c r="C107" t="s">
        <v>860</v>
      </c>
      <c r="D107" t="s">
        <v>846</v>
      </c>
      <c r="Q107" s="112">
        <v>2872978.19</v>
      </c>
    </row>
    <row r="108" spans="2:17">
      <c r="B108">
        <v>412</v>
      </c>
      <c r="C108" t="s">
        <v>861</v>
      </c>
      <c r="D108" t="s">
        <v>846</v>
      </c>
      <c r="Q108" s="112">
        <v>1527672.88</v>
      </c>
    </row>
    <row r="109" spans="2:17">
      <c r="B109">
        <v>414</v>
      </c>
      <c r="C109" t="s">
        <v>862</v>
      </c>
      <c r="D109" t="s">
        <v>846</v>
      </c>
    </row>
    <row r="110" spans="2:17">
      <c r="B110">
        <v>416</v>
      </c>
      <c r="C110" t="s">
        <v>705</v>
      </c>
      <c r="D110" t="s">
        <v>846</v>
      </c>
      <c r="Q110" s="112">
        <f>Q107-Q108</f>
        <v>1345305.31</v>
      </c>
    </row>
    <row r="111" spans="2:17">
      <c r="B111">
        <v>420</v>
      </c>
      <c r="C111" t="s">
        <v>863</v>
      </c>
      <c r="D111" t="s">
        <v>846</v>
      </c>
    </row>
    <row r="112" spans="2:17">
      <c r="B112">
        <v>425</v>
      </c>
      <c r="C112" t="s">
        <v>864</v>
      </c>
      <c r="D112" t="s">
        <v>846</v>
      </c>
    </row>
    <row r="113" spans="2:4">
      <c r="B113">
        <v>426</v>
      </c>
      <c r="C113" t="s">
        <v>865</v>
      </c>
      <c r="D113" t="s">
        <v>846</v>
      </c>
    </row>
    <row r="114" spans="2:4">
      <c r="B114">
        <v>4261</v>
      </c>
      <c r="C114" t="s">
        <v>866</v>
      </c>
      <c r="D114" t="s">
        <v>846</v>
      </c>
    </row>
    <row r="115" spans="2:4">
      <c r="B115">
        <v>427</v>
      </c>
      <c r="C115" t="s">
        <v>867</v>
      </c>
      <c r="D115" t="s">
        <v>846</v>
      </c>
    </row>
    <row r="116" spans="2:4">
      <c r="B116">
        <v>428</v>
      </c>
      <c r="C116" t="s">
        <v>1245</v>
      </c>
      <c r="D116" t="s">
        <v>846</v>
      </c>
    </row>
    <row r="117" spans="2:4">
      <c r="B117">
        <v>429</v>
      </c>
      <c r="C117" t="s">
        <v>868</v>
      </c>
      <c r="D117" t="s">
        <v>846</v>
      </c>
    </row>
    <row r="118" spans="2:4">
      <c r="B118">
        <v>430</v>
      </c>
      <c r="C118" t="s">
        <v>869</v>
      </c>
      <c r="D118" t="s">
        <v>846</v>
      </c>
    </row>
    <row r="119" spans="2:4">
      <c r="B119">
        <v>433</v>
      </c>
      <c r="C119" t="s">
        <v>870</v>
      </c>
      <c r="D119" t="s">
        <v>846</v>
      </c>
    </row>
    <row r="120" spans="2:4">
      <c r="B120">
        <v>4331</v>
      </c>
      <c r="C120" t="s">
        <v>871</v>
      </c>
      <c r="D120" t="s">
        <v>846</v>
      </c>
    </row>
    <row r="121" spans="2:4">
      <c r="B121">
        <v>434</v>
      </c>
      <c r="C121" t="s">
        <v>872</v>
      </c>
      <c r="D121" t="s">
        <v>846</v>
      </c>
    </row>
    <row r="122" spans="2:4">
      <c r="B122">
        <v>437</v>
      </c>
      <c r="C122" t="s">
        <v>873</v>
      </c>
      <c r="D122" t="s">
        <v>846</v>
      </c>
    </row>
    <row r="123" spans="2:4">
      <c r="B123">
        <v>438</v>
      </c>
      <c r="C123" t="s">
        <v>874</v>
      </c>
      <c r="D123" t="s">
        <v>846</v>
      </c>
    </row>
    <row r="124" spans="2:4">
      <c r="B124">
        <v>441</v>
      </c>
      <c r="C124" t="s">
        <v>875</v>
      </c>
      <c r="D124" t="s">
        <v>846</v>
      </c>
    </row>
    <row r="125" spans="2:4">
      <c r="B125">
        <v>4411</v>
      </c>
      <c r="C125" t="s">
        <v>876</v>
      </c>
    </row>
    <row r="126" spans="2:4">
      <c r="B126">
        <v>442</v>
      </c>
      <c r="C126" t="s">
        <v>877</v>
      </c>
      <c r="D126" t="s">
        <v>846</v>
      </c>
    </row>
    <row r="127" spans="2:4">
      <c r="B127">
        <v>445</v>
      </c>
      <c r="C127" t="s">
        <v>878</v>
      </c>
      <c r="D127" t="s">
        <v>846</v>
      </c>
    </row>
    <row r="128" spans="2:4">
      <c r="B128">
        <v>449</v>
      </c>
      <c r="C128" t="s">
        <v>879</v>
      </c>
      <c r="D128" t="s">
        <v>846</v>
      </c>
    </row>
    <row r="129" spans="2:4">
      <c r="B129">
        <v>450</v>
      </c>
      <c r="C129" t="s">
        <v>880</v>
      </c>
      <c r="D129" t="s">
        <v>846</v>
      </c>
    </row>
    <row r="130" spans="2:4">
      <c r="B130">
        <v>451</v>
      </c>
      <c r="C130" t="s">
        <v>881</v>
      </c>
      <c r="D130" t="s">
        <v>846</v>
      </c>
    </row>
    <row r="131" spans="2:4">
      <c r="B131">
        <v>452</v>
      </c>
      <c r="C131" t="s">
        <v>1272</v>
      </c>
      <c r="D131" t="s">
        <v>846</v>
      </c>
    </row>
    <row r="132" spans="2:4">
      <c r="B132">
        <v>453</v>
      </c>
      <c r="C132" t="s">
        <v>882</v>
      </c>
      <c r="D132" t="s">
        <v>846</v>
      </c>
    </row>
    <row r="133" spans="2:4">
      <c r="B133">
        <v>461</v>
      </c>
      <c r="C133" t="s">
        <v>883</v>
      </c>
      <c r="D133" t="s">
        <v>846</v>
      </c>
    </row>
    <row r="134" spans="2:4">
      <c r="B134">
        <v>469</v>
      </c>
      <c r="C134" t="s">
        <v>884</v>
      </c>
      <c r="D134" t="s">
        <v>846</v>
      </c>
    </row>
    <row r="135" spans="2:4">
      <c r="B135">
        <v>473</v>
      </c>
      <c r="C135" t="s">
        <v>885</v>
      </c>
      <c r="D135" t="s">
        <v>846</v>
      </c>
    </row>
    <row r="136" spans="2:4">
      <c r="B136">
        <v>475</v>
      </c>
      <c r="C136" t="s">
        <v>886</v>
      </c>
      <c r="D136" t="s">
        <v>846</v>
      </c>
    </row>
    <row r="137" spans="2:4">
      <c r="B137">
        <v>4751</v>
      </c>
      <c r="C137" t="s">
        <v>1244</v>
      </c>
      <c r="D137" t="s">
        <v>846</v>
      </c>
    </row>
    <row r="138" spans="2:4">
      <c r="B138">
        <v>477</v>
      </c>
      <c r="C138" t="s">
        <v>887</v>
      </c>
      <c r="D138" t="s">
        <v>846</v>
      </c>
    </row>
    <row r="139" spans="2:4">
      <c r="B139">
        <v>478</v>
      </c>
      <c r="C139" t="s">
        <v>888</v>
      </c>
      <c r="D139" t="s">
        <v>846</v>
      </c>
    </row>
    <row r="140" spans="2:4">
      <c r="B140">
        <v>485</v>
      </c>
      <c r="C140" t="s">
        <v>889</v>
      </c>
      <c r="D140" t="s">
        <v>846</v>
      </c>
    </row>
    <row r="141" spans="2:4">
      <c r="B141">
        <v>4853</v>
      </c>
      <c r="C141" t="s">
        <v>890</v>
      </c>
      <c r="D141" t="s">
        <v>846</v>
      </c>
    </row>
    <row r="142" spans="2:4">
      <c r="B142">
        <v>4854</v>
      </c>
      <c r="C142" t="s">
        <v>891</v>
      </c>
      <c r="D142" t="s">
        <v>846</v>
      </c>
    </row>
    <row r="143" spans="2:4">
      <c r="B143">
        <v>486</v>
      </c>
      <c r="C143" t="s">
        <v>830</v>
      </c>
      <c r="D143" t="s">
        <v>846</v>
      </c>
    </row>
    <row r="144" spans="2:4">
      <c r="B144">
        <v>487</v>
      </c>
      <c r="C144" t="s">
        <v>892</v>
      </c>
      <c r="D144" t="s">
        <v>846</v>
      </c>
    </row>
    <row r="145" spans="2:17">
      <c r="B145">
        <v>489</v>
      </c>
      <c r="C145" t="s">
        <v>893</v>
      </c>
      <c r="D145" t="s">
        <v>846</v>
      </c>
    </row>
    <row r="146" spans="2:17">
      <c r="B146">
        <v>493</v>
      </c>
      <c r="C146" t="s">
        <v>894</v>
      </c>
      <c r="D146" t="s">
        <v>846</v>
      </c>
    </row>
    <row r="147" spans="2:17">
      <c r="B147">
        <v>494</v>
      </c>
      <c r="C147" t="s">
        <v>895</v>
      </c>
      <c r="D147" t="s">
        <v>846</v>
      </c>
    </row>
    <row r="148" spans="2:17">
      <c r="B148">
        <v>5001</v>
      </c>
      <c r="C148" t="s">
        <v>1258</v>
      </c>
      <c r="D148" t="s">
        <v>846</v>
      </c>
      <c r="L148"/>
      <c r="M148"/>
      <c r="Q148"/>
    </row>
    <row r="149" spans="2:17">
      <c r="B149">
        <v>5002</v>
      </c>
      <c r="C149" t="s">
        <v>1259</v>
      </c>
      <c r="D149" t="s">
        <v>846</v>
      </c>
      <c r="L149"/>
      <c r="M149"/>
      <c r="Q149"/>
    </row>
    <row r="150" spans="2:17">
      <c r="B150">
        <v>5003</v>
      </c>
      <c r="C150" t="s">
        <v>1260</v>
      </c>
      <c r="D150" t="s">
        <v>846</v>
      </c>
      <c r="L150"/>
      <c r="M150"/>
      <c r="Q150"/>
    </row>
    <row r="151" spans="2:17">
      <c r="B151">
        <v>5004</v>
      </c>
      <c r="C151" t="s">
        <v>1261</v>
      </c>
      <c r="D151" t="s">
        <v>846</v>
      </c>
      <c r="L151"/>
      <c r="M151"/>
      <c r="Q151"/>
    </row>
    <row r="152" spans="2:17">
      <c r="B152">
        <v>5005</v>
      </c>
      <c r="C152" t="s">
        <v>1262</v>
      </c>
      <c r="D152" t="s">
        <v>846</v>
      </c>
      <c r="L152"/>
      <c r="M152"/>
      <c r="Q152"/>
    </row>
    <row r="153" spans="2:17">
      <c r="B153">
        <v>5006</v>
      </c>
      <c r="C153" t="s">
        <v>1263</v>
      </c>
      <c r="D153" t="s">
        <v>846</v>
      </c>
      <c r="L153"/>
      <c r="M153"/>
      <c r="Q153"/>
    </row>
    <row r="154" spans="2:17">
      <c r="B154">
        <v>5007</v>
      </c>
      <c r="C154" t="s">
        <v>1264</v>
      </c>
      <c r="D154" t="s">
        <v>846</v>
      </c>
      <c r="L154"/>
      <c r="M154"/>
      <c r="Q154"/>
    </row>
    <row r="155" spans="2:17">
      <c r="B155">
        <v>5008</v>
      </c>
      <c r="C155" t="s">
        <v>1265</v>
      </c>
      <c r="D155" t="s">
        <v>846</v>
      </c>
      <c r="L155"/>
      <c r="M155"/>
      <c r="Q155"/>
    </row>
    <row r="156" spans="2:17">
      <c r="B156">
        <v>5009</v>
      </c>
      <c r="C156" t="s">
        <v>1266</v>
      </c>
      <c r="D156" t="s">
        <v>846</v>
      </c>
      <c r="L156"/>
      <c r="M156"/>
      <c r="Q156"/>
    </row>
    <row r="157" spans="2:17">
      <c r="B157">
        <v>5010</v>
      </c>
      <c r="C157" t="s">
        <v>1267</v>
      </c>
      <c r="D157" t="s">
        <v>846</v>
      </c>
      <c r="L157"/>
      <c r="M157"/>
      <c r="Q157"/>
    </row>
    <row r="158" spans="2:17">
      <c r="B158">
        <v>5011</v>
      </c>
      <c r="C158" t="s">
        <v>1268</v>
      </c>
      <c r="D158" t="s">
        <v>846</v>
      </c>
      <c r="L158"/>
      <c r="M158"/>
      <c r="Q158"/>
    </row>
    <row r="159" spans="2:17">
      <c r="B159">
        <v>5012</v>
      </c>
      <c r="C159" t="s">
        <v>1269</v>
      </c>
      <c r="D159" t="s">
        <v>846</v>
      </c>
      <c r="L159"/>
      <c r="M159"/>
      <c r="Q159"/>
    </row>
    <row r="160" spans="2:17">
      <c r="B160">
        <v>5013</v>
      </c>
      <c r="C160" t="s">
        <v>1270</v>
      </c>
      <c r="D160" t="s">
        <v>846</v>
      </c>
      <c r="L160"/>
      <c r="M160"/>
      <c r="Q160"/>
    </row>
    <row r="161" spans="1:17">
      <c r="B161">
        <v>5014</v>
      </c>
      <c r="C161" t="s">
        <v>1271</v>
      </c>
      <c r="D161" t="s">
        <v>846</v>
      </c>
      <c r="L161"/>
      <c r="M161"/>
      <c r="Q161"/>
    </row>
    <row r="162" spans="1:17">
      <c r="B162">
        <v>504</v>
      </c>
      <c r="C162" t="s">
        <v>896</v>
      </c>
      <c r="D162" t="s">
        <v>846</v>
      </c>
    </row>
    <row r="163" spans="1:17">
      <c r="B163">
        <v>505</v>
      </c>
      <c r="C163" t="s">
        <v>897</v>
      </c>
      <c r="D163" t="s">
        <v>846</v>
      </c>
    </row>
    <row r="164" spans="1:17">
      <c r="B164">
        <v>506</v>
      </c>
      <c r="C164" t="s">
        <v>898</v>
      </c>
      <c r="D164" t="s">
        <v>846</v>
      </c>
    </row>
    <row r="165" spans="1:17">
      <c r="B165">
        <v>835</v>
      </c>
      <c r="C165" t="s">
        <v>899</v>
      </c>
      <c r="D165" t="s">
        <v>900</v>
      </c>
    </row>
    <row r="166" spans="1:17">
      <c r="A166" t="s">
        <v>134</v>
      </c>
      <c r="B166">
        <v>900</v>
      </c>
      <c r="C166" t="s">
        <v>901</v>
      </c>
      <c r="D166" t="s">
        <v>902</v>
      </c>
    </row>
    <row r="167" spans="1:17">
      <c r="B167">
        <v>901</v>
      </c>
      <c r="C167" t="s">
        <v>903</v>
      </c>
      <c r="D167" t="s">
        <v>902</v>
      </c>
    </row>
    <row r="168" spans="1:17">
      <c r="B168">
        <v>902</v>
      </c>
      <c r="C168" t="s">
        <v>904</v>
      </c>
      <c r="D168" t="s">
        <v>902</v>
      </c>
    </row>
    <row r="169" spans="1:17">
      <c r="B169">
        <v>903</v>
      </c>
      <c r="C169" t="s">
        <v>905</v>
      </c>
      <c r="D169" t="s">
        <v>902</v>
      </c>
    </row>
    <row r="170" spans="1:17">
      <c r="B170">
        <v>904</v>
      </c>
      <c r="C170" t="s">
        <v>906</v>
      </c>
      <c r="D170" t="s">
        <v>902</v>
      </c>
    </row>
    <row r="171" spans="1:17">
      <c r="B171">
        <v>905</v>
      </c>
      <c r="C171" t="s">
        <v>907</v>
      </c>
      <c r="D171" t="s">
        <v>902</v>
      </c>
    </row>
    <row r="172" spans="1:17">
      <c r="B172">
        <v>906</v>
      </c>
      <c r="C172" t="s">
        <v>908</v>
      </c>
      <c r="D172" t="s">
        <v>902</v>
      </c>
    </row>
    <row r="173" spans="1:17">
      <c r="B173">
        <v>907</v>
      </c>
      <c r="C173" t="s">
        <v>909</v>
      </c>
      <c r="D173" t="s">
        <v>902</v>
      </c>
    </row>
    <row r="174" spans="1:17">
      <c r="B174">
        <v>908</v>
      </c>
      <c r="C174" t="s">
        <v>910</v>
      </c>
      <c r="D174" t="s">
        <v>902</v>
      </c>
    </row>
    <row r="175" spans="1:17">
      <c r="B175">
        <v>909</v>
      </c>
      <c r="C175" t="s">
        <v>911</v>
      </c>
      <c r="D175" t="s">
        <v>902</v>
      </c>
    </row>
    <row r="176" spans="1:17">
      <c r="B176">
        <v>910</v>
      </c>
      <c r="C176" t="s">
        <v>912</v>
      </c>
      <c r="D176" t="s">
        <v>902</v>
      </c>
    </row>
    <row r="177" spans="2:4">
      <c r="B177">
        <v>911</v>
      </c>
      <c r="C177" t="s">
        <v>913</v>
      </c>
      <c r="D177" t="s">
        <v>902</v>
      </c>
    </row>
    <row r="178" spans="2:4">
      <c r="B178">
        <v>912</v>
      </c>
      <c r="C178" t="s">
        <v>914</v>
      </c>
      <c r="D178" t="s">
        <v>902</v>
      </c>
    </row>
    <row r="179" spans="2:4">
      <c r="B179">
        <v>913</v>
      </c>
      <c r="C179" t="s">
        <v>915</v>
      </c>
      <c r="D179" t="s">
        <v>902</v>
      </c>
    </row>
    <row r="180" spans="2:4">
      <c r="B180">
        <v>914</v>
      </c>
      <c r="C180" t="s">
        <v>916</v>
      </c>
      <c r="D180" t="s">
        <v>902</v>
      </c>
    </row>
    <row r="181" spans="2:4">
      <c r="B181">
        <v>915</v>
      </c>
      <c r="C181" t="s">
        <v>917</v>
      </c>
      <c r="D181" t="s">
        <v>902</v>
      </c>
    </row>
    <row r="182" spans="2:4">
      <c r="B182">
        <v>916</v>
      </c>
      <c r="C182" t="s">
        <v>918</v>
      </c>
      <c r="D182" t="s">
        <v>902</v>
      </c>
    </row>
    <row r="183" spans="2:4">
      <c r="B183">
        <v>917</v>
      </c>
      <c r="C183" t="s">
        <v>919</v>
      </c>
      <c r="D183" t="s">
        <v>902</v>
      </c>
    </row>
    <row r="184" spans="2:4">
      <c r="B184">
        <v>918</v>
      </c>
      <c r="C184" t="s">
        <v>920</v>
      </c>
      <c r="D184" t="s">
        <v>902</v>
      </c>
    </row>
    <row r="185" spans="2:4">
      <c r="B185">
        <v>919</v>
      </c>
      <c r="C185" t="s">
        <v>921</v>
      </c>
      <c r="D185" t="s">
        <v>902</v>
      </c>
    </row>
    <row r="186" spans="2:4">
      <c r="B186">
        <v>920</v>
      </c>
      <c r="C186" t="s">
        <v>922</v>
      </c>
      <c r="D186" t="s">
        <v>902</v>
      </c>
    </row>
    <row r="187" spans="2:4">
      <c r="B187">
        <v>921</v>
      </c>
      <c r="C187" t="s">
        <v>923</v>
      </c>
      <c r="D187" t="s">
        <v>902</v>
      </c>
    </row>
    <row r="188" spans="2:4">
      <c r="B188">
        <v>922</v>
      </c>
      <c r="C188" t="s">
        <v>924</v>
      </c>
      <c r="D188" t="s">
        <v>902</v>
      </c>
    </row>
    <row r="189" spans="2:4">
      <c r="B189">
        <v>923</v>
      </c>
      <c r="D189" t="s">
        <v>902</v>
      </c>
    </row>
    <row r="190" spans="2:4">
      <c r="B190">
        <v>924</v>
      </c>
      <c r="D190" t="s">
        <v>902</v>
      </c>
    </row>
    <row r="191" spans="2:4">
      <c r="B191">
        <v>925</v>
      </c>
      <c r="C191" t="s">
        <v>925</v>
      </c>
      <c r="D191" t="s">
        <v>902</v>
      </c>
    </row>
    <row r="192" spans="2:4">
      <c r="B192">
        <v>926</v>
      </c>
      <c r="C192" t="s">
        <v>926</v>
      </c>
      <c r="D192" t="s">
        <v>902</v>
      </c>
    </row>
    <row r="193" spans="2:18">
      <c r="B193">
        <v>930</v>
      </c>
      <c r="C193" t="s">
        <v>927</v>
      </c>
      <c r="D193" t="s">
        <v>902</v>
      </c>
    </row>
    <row r="194" spans="2:18">
      <c r="B194">
        <v>931</v>
      </c>
      <c r="C194" t="s">
        <v>928</v>
      </c>
      <c r="D194" t="s">
        <v>902</v>
      </c>
    </row>
    <row r="195" spans="2:18">
      <c r="B195">
        <v>932</v>
      </c>
      <c r="C195" t="s">
        <v>929</v>
      </c>
      <c r="D195" t="s">
        <v>902</v>
      </c>
    </row>
    <row r="196" spans="2:18">
      <c r="B196">
        <v>935</v>
      </c>
      <c r="C196" t="s">
        <v>930</v>
      </c>
      <c r="D196" t="s">
        <v>902</v>
      </c>
    </row>
    <row r="197" spans="2:18">
      <c r="B197">
        <v>951</v>
      </c>
      <c r="C197" t="s">
        <v>931</v>
      </c>
      <c r="D197" t="s">
        <v>902</v>
      </c>
      <c r="P197" s="122"/>
    </row>
    <row r="198" spans="2:18">
      <c r="B198">
        <v>954</v>
      </c>
      <c r="C198" t="s">
        <v>932</v>
      </c>
      <c r="D198" t="s">
        <v>902</v>
      </c>
    </row>
    <row r="199" spans="2:18">
      <c r="B199">
        <v>955</v>
      </c>
      <c r="C199" t="s">
        <v>933</v>
      </c>
      <c r="D199" t="s">
        <v>902</v>
      </c>
      <c r="R199" s="122"/>
    </row>
    <row r="200" spans="2:18">
      <c r="B200">
        <v>956</v>
      </c>
      <c r="C200" t="s">
        <v>934</v>
      </c>
      <c r="D200" t="s">
        <v>902</v>
      </c>
      <c r="R200" s="122"/>
    </row>
    <row r="201" spans="2:18">
      <c r="B201">
        <v>957</v>
      </c>
      <c r="C201" t="s">
        <v>935</v>
      </c>
      <c r="D201" t="s">
        <v>902</v>
      </c>
    </row>
    <row r="202" spans="2:18">
      <c r="B202" s="111">
        <v>960</v>
      </c>
      <c r="C202" s="111" t="s">
        <v>936</v>
      </c>
      <c r="D202" t="s">
        <v>937</v>
      </c>
    </row>
    <row r="203" spans="2:18">
      <c r="B203">
        <v>961</v>
      </c>
      <c r="C203" t="s">
        <v>938</v>
      </c>
      <c r="D203" t="s">
        <v>937</v>
      </c>
    </row>
    <row r="204" spans="2:18">
      <c r="B204">
        <v>962</v>
      </c>
      <c r="C204" t="s">
        <v>939</v>
      </c>
      <c r="D204" t="s">
        <v>937</v>
      </c>
    </row>
    <row r="205" spans="2:18">
      <c r="B205">
        <v>963</v>
      </c>
      <c r="C205" t="s">
        <v>940</v>
      </c>
      <c r="D205" t="s">
        <v>937</v>
      </c>
    </row>
    <row r="206" spans="2:18">
      <c r="B206">
        <v>964</v>
      </c>
      <c r="C206" t="s">
        <v>941</v>
      </c>
      <c r="D206" t="s">
        <v>937</v>
      </c>
    </row>
    <row r="207" spans="2:18">
      <c r="B207">
        <v>965</v>
      </c>
      <c r="C207" t="s">
        <v>942</v>
      </c>
      <c r="D207" t="s">
        <v>937</v>
      </c>
    </row>
    <row r="208" spans="2:18">
      <c r="B208">
        <v>966</v>
      </c>
      <c r="D208" t="s">
        <v>937</v>
      </c>
    </row>
    <row r="209" spans="2:4">
      <c r="B209">
        <v>967</v>
      </c>
      <c r="D209" t="s">
        <v>937</v>
      </c>
    </row>
    <row r="210" spans="2:4">
      <c r="B210">
        <v>968</v>
      </c>
      <c r="D210" t="s">
        <v>937</v>
      </c>
    </row>
    <row r="211" spans="2:4">
      <c r="B211">
        <v>969</v>
      </c>
      <c r="C211" t="s">
        <v>943</v>
      </c>
      <c r="D211" t="s">
        <v>937</v>
      </c>
    </row>
    <row r="212" spans="2:4">
      <c r="B212" s="111">
        <v>970</v>
      </c>
      <c r="C212" s="111" t="s">
        <v>944</v>
      </c>
      <c r="D212" t="s">
        <v>937</v>
      </c>
    </row>
  </sheetData>
  <autoFilter ref="A1:D1" xr:uid="{CBC03905-24C6-41DC-A844-8BFCA4E3523D}">
    <sortState xmlns:xlrd2="http://schemas.microsoft.com/office/spreadsheetml/2017/richdata2" ref="A2:D186">
      <sortCondition ref="B1"/>
    </sortState>
  </autoFilter>
  <phoneticPr fontId="1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B2845-0028-4F1C-8E8B-D3152459823D}">
  <dimension ref="B3:F11"/>
  <sheetViews>
    <sheetView workbookViewId="0"/>
  </sheetViews>
  <sheetFormatPr defaultColWidth="8.69140625" defaultRowHeight="14.6"/>
  <cols>
    <col min="2" max="2" width="12.3046875" style="112" bestFit="1" customWidth="1"/>
  </cols>
  <sheetData>
    <row r="3" spans="2:6">
      <c r="B3" s="112">
        <v>484000</v>
      </c>
    </row>
    <row r="4" spans="2:6">
      <c r="B4" s="112">
        <v>123920</v>
      </c>
    </row>
    <row r="5" spans="2:6">
      <c r="B5" s="112">
        <v>279980</v>
      </c>
    </row>
    <row r="6" spans="2:6">
      <c r="B6" s="112">
        <v>3000</v>
      </c>
    </row>
    <row r="7" spans="2:6">
      <c r="B7" s="112">
        <f>SUM(B3:B6)</f>
        <v>890900</v>
      </c>
    </row>
    <row r="9" spans="2:6">
      <c r="B9" s="112">
        <v>69000</v>
      </c>
    </row>
    <row r="10" spans="2:6">
      <c r="B10" s="112">
        <v>15000</v>
      </c>
    </row>
    <row r="11" spans="2:6">
      <c r="B11" s="112">
        <f>B9+B10</f>
        <v>84000</v>
      </c>
      <c r="D11">
        <v>25</v>
      </c>
      <c r="F11" s="122">
        <f>B11*D11</f>
        <v>2100000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4B320-615F-41EE-8587-CBBA4C9AD44F}">
  <dimension ref="A1:F36"/>
  <sheetViews>
    <sheetView topLeftCell="A16" workbookViewId="0">
      <selection activeCell="B10" sqref="B10"/>
    </sheetView>
  </sheetViews>
  <sheetFormatPr defaultColWidth="8.69140625" defaultRowHeight="14.6"/>
  <cols>
    <col min="1" max="1" width="14" bestFit="1" customWidth="1"/>
    <col min="2" max="2" width="28.3046875" customWidth="1"/>
    <col min="3" max="5" width="22.69140625" customWidth="1"/>
    <col min="6" max="6" width="50.3046875" bestFit="1" customWidth="1"/>
  </cols>
  <sheetData>
    <row r="1" spans="1:6" ht="15" thickBot="1">
      <c r="A1" s="215"/>
      <c r="B1" s="215"/>
      <c r="C1" s="386" t="s">
        <v>945</v>
      </c>
      <c r="D1" s="387"/>
      <c r="E1" s="386" t="s">
        <v>946</v>
      </c>
      <c r="F1" s="387"/>
    </row>
    <row r="2" spans="1:6" ht="15" thickBot="1">
      <c r="A2" s="217" t="s">
        <v>776</v>
      </c>
      <c r="B2" s="215"/>
      <c r="C2" s="213" t="s">
        <v>776</v>
      </c>
      <c r="D2" s="212" t="s">
        <v>947</v>
      </c>
      <c r="E2" s="213" t="s">
        <v>776</v>
      </c>
      <c r="F2" s="215" t="s">
        <v>947</v>
      </c>
    </row>
    <row r="3" spans="1:6" ht="15" thickBot="1">
      <c r="A3" s="217">
        <v>911</v>
      </c>
      <c r="B3" s="216" t="s">
        <v>161</v>
      </c>
      <c r="C3" s="213">
        <v>902</v>
      </c>
      <c r="D3" s="212" t="s">
        <v>904</v>
      </c>
      <c r="E3" s="213">
        <v>101</v>
      </c>
      <c r="F3" s="215" t="s">
        <v>948</v>
      </c>
    </row>
    <row r="4" spans="1:6" ht="15" thickBot="1">
      <c r="A4" s="215"/>
      <c r="B4" s="215"/>
      <c r="C4" s="213">
        <v>931</v>
      </c>
      <c r="D4" s="212" t="s">
        <v>928</v>
      </c>
      <c r="E4" s="213">
        <v>102</v>
      </c>
      <c r="F4" s="215" t="s">
        <v>949</v>
      </c>
    </row>
    <row r="5" spans="1:6" ht="15" thickBot="1">
      <c r="A5" s="215"/>
      <c r="B5" s="215"/>
      <c r="C5" s="212"/>
      <c r="D5" s="212"/>
      <c r="E5" s="212"/>
      <c r="F5" s="215"/>
    </row>
    <row r="6" spans="1:6" ht="26.15" thickBot="1">
      <c r="A6" s="217">
        <v>931</v>
      </c>
      <c r="B6" s="216" t="s">
        <v>178</v>
      </c>
      <c r="C6" s="213">
        <v>911</v>
      </c>
      <c r="D6" s="212" t="s">
        <v>913</v>
      </c>
      <c r="E6" s="213">
        <v>101</v>
      </c>
      <c r="F6" s="215" t="s">
        <v>950</v>
      </c>
    </row>
    <row r="7" spans="1:6" ht="15" thickBot="1">
      <c r="A7" s="215"/>
      <c r="B7" s="215"/>
      <c r="C7" s="213">
        <v>916</v>
      </c>
      <c r="D7" s="212" t="s">
        <v>918</v>
      </c>
      <c r="E7" s="213">
        <v>102</v>
      </c>
      <c r="F7" s="215" t="s">
        <v>951</v>
      </c>
    </row>
    <row r="8" spans="1:6" ht="15" thickBot="1">
      <c r="A8" s="215"/>
      <c r="B8" s="215"/>
      <c r="C8" s="212"/>
      <c r="D8" s="212"/>
      <c r="E8" s="213">
        <v>103</v>
      </c>
      <c r="F8" s="215" t="s">
        <v>952</v>
      </c>
    </row>
    <row r="9" spans="1:6" ht="15" thickBot="1">
      <c r="A9" s="215"/>
      <c r="B9" s="215"/>
      <c r="C9" s="212"/>
      <c r="D9" s="212"/>
      <c r="E9" s="213">
        <v>104</v>
      </c>
      <c r="F9" s="215" t="s">
        <v>953</v>
      </c>
    </row>
    <row r="10" spans="1:6" ht="15" thickBot="1">
      <c r="A10" s="215"/>
      <c r="B10" s="215"/>
      <c r="C10" s="212"/>
      <c r="D10" s="212"/>
      <c r="E10" s="212"/>
      <c r="F10" s="215"/>
    </row>
    <row r="11" spans="1:6" ht="26.15" thickBot="1">
      <c r="A11" s="217">
        <v>902</v>
      </c>
      <c r="B11" s="216" t="s">
        <v>107</v>
      </c>
      <c r="C11" s="213">
        <v>900</v>
      </c>
      <c r="D11" s="212" t="s">
        <v>901</v>
      </c>
      <c r="E11" s="213">
        <v>101</v>
      </c>
      <c r="F11" s="215" t="s">
        <v>954</v>
      </c>
    </row>
    <row r="12" spans="1:6" ht="15" thickBot="1">
      <c r="A12" s="215"/>
      <c r="B12" s="215"/>
      <c r="C12" s="213">
        <v>905</v>
      </c>
      <c r="D12" s="212" t="s">
        <v>907</v>
      </c>
      <c r="E12" s="213">
        <v>102</v>
      </c>
      <c r="F12" s="215" t="s">
        <v>955</v>
      </c>
    </row>
    <row r="13" spans="1:6" ht="26.15" thickBot="1">
      <c r="A13" s="215"/>
      <c r="B13" s="215"/>
      <c r="C13" s="213">
        <v>911</v>
      </c>
      <c r="D13" s="212" t="s">
        <v>913</v>
      </c>
      <c r="E13" s="212"/>
      <c r="F13" s="215"/>
    </row>
    <row r="14" spans="1:6" ht="26.15" thickBot="1">
      <c r="A14" s="215"/>
      <c r="B14" s="215" t="s">
        <v>956</v>
      </c>
      <c r="C14" s="213">
        <v>914</v>
      </c>
      <c r="D14" s="212" t="s">
        <v>957</v>
      </c>
      <c r="E14" s="212"/>
      <c r="F14" s="215"/>
    </row>
    <row r="15" spans="1:6" ht="15" thickBot="1">
      <c r="A15" s="215"/>
      <c r="B15" s="215"/>
      <c r="C15" s="213">
        <v>915</v>
      </c>
      <c r="D15" s="212" t="s">
        <v>917</v>
      </c>
      <c r="E15" s="212"/>
      <c r="F15" s="215"/>
    </row>
    <row r="16" spans="1:6" ht="26.15" thickBot="1">
      <c r="A16" s="215"/>
      <c r="B16" s="215" t="s">
        <v>956</v>
      </c>
      <c r="C16" s="213">
        <v>918</v>
      </c>
      <c r="D16" s="212" t="s">
        <v>958</v>
      </c>
      <c r="E16" s="212"/>
      <c r="F16" s="215"/>
    </row>
    <row r="17" spans="1:6" ht="15" thickBot="1">
      <c r="A17" s="215"/>
      <c r="B17" s="215" t="s">
        <v>956</v>
      </c>
      <c r="C17" s="213">
        <v>920</v>
      </c>
      <c r="D17" s="212" t="s">
        <v>959</v>
      </c>
      <c r="E17" s="212"/>
      <c r="F17" s="215"/>
    </row>
    <row r="18" spans="1:6" ht="15" thickBot="1">
      <c r="A18" s="215"/>
      <c r="B18" s="215"/>
      <c r="C18" s="213">
        <v>935</v>
      </c>
      <c r="D18" s="212" t="s">
        <v>930</v>
      </c>
      <c r="E18" s="212"/>
      <c r="F18" s="215"/>
    </row>
    <row r="19" spans="1:6" ht="15" thickBot="1">
      <c r="A19" s="215"/>
      <c r="B19" s="215"/>
      <c r="C19" s="212"/>
      <c r="D19" s="212"/>
      <c r="E19" s="212"/>
      <c r="F19" s="215"/>
    </row>
    <row r="20" spans="1:6" ht="15" thickBot="1">
      <c r="A20" s="217">
        <v>900</v>
      </c>
      <c r="B20" s="216" t="s">
        <v>134</v>
      </c>
      <c r="C20" s="213">
        <v>902</v>
      </c>
      <c r="D20" s="214" t="s">
        <v>904</v>
      </c>
      <c r="E20" s="213">
        <v>101</v>
      </c>
      <c r="F20" s="215" t="s">
        <v>960</v>
      </c>
    </row>
    <row r="21" spans="1:6" ht="15" thickBot="1">
      <c r="A21" s="215"/>
      <c r="B21" s="215"/>
      <c r="C21" s="213">
        <v>905</v>
      </c>
      <c r="D21" s="212" t="s">
        <v>907</v>
      </c>
      <c r="E21" s="213">
        <v>102</v>
      </c>
      <c r="F21" s="215" t="s">
        <v>961</v>
      </c>
    </row>
    <row r="22" spans="1:6" ht="15" thickBot="1">
      <c r="A22" s="215"/>
      <c r="B22" s="215"/>
      <c r="C22" s="213">
        <v>906</v>
      </c>
      <c r="D22" s="212" t="s">
        <v>908</v>
      </c>
      <c r="E22" s="212"/>
      <c r="F22" s="215"/>
    </row>
    <row r="23" spans="1:6" ht="15" thickBot="1">
      <c r="A23" s="215"/>
      <c r="B23" s="215"/>
      <c r="C23" s="213">
        <v>907</v>
      </c>
      <c r="D23" s="212" t="s">
        <v>909</v>
      </c>
      <c r="E23" s="212"/>
      <c r="F23" s="215"/>
    </row>
    <row r="24" spans="1:6" ht="15" thickBot="1">
      <c r="A24" s="215"/>
      <c r="B24" s="215"/>
      <c r="C24" s="213">
        <v>908</v>
      </c>
      <c r="D24" s="212" t="s">
        <v>910</v>
      </c>
      <c r="E24" s="212"/>
      <c r="F24" s="215"/>
    </row>
    <row r="25" spans="1:6" ht="15" thickBot="1">
      <c r="A25" s="215"/>
      <c r="B25" s="215"/>
      <c r="C25" s="212"/>
      <c r="D25" s="212"/>
      <c r="E25" s="212"/>
      <c r="F25" s="215"/>
    </row>
    <row r="26" spans="1:6" ht="15" thickBot="1">
      <c r="A26" s="217">
        <v>915</v>
      </c>
      <c r="B26" s="216" t="s">
        <v>440</v>
      </c>
      <c r="C26" s="213">
        <v>902</v>
      </c>
      <c r="D26" s="212" t="s">
        <v>904</v>
      </c>
      <c r="E26" s="213">
        <v>101</v>
      </c>
      <c r="F26" s="215" t="s">
        <v>962</v>
      </c>
    </row>
    <row r="27" spans="1:6" ht="15" thickBot="1">
      <c r="A27" s="215"/>
      <c r="B27" s="215"/>
      <c r="C27" s="213">
        <v>916</v>
      </c>
      <c r="D27" s="212" t="s">
        <v>918</v>
      </c>
      <c r="E27" s="212"/>
      <c r="F27" s="215"/>
    </row>
    <row r="28" spans="1:6" ht="15" thickBot="1">
      <c r="A28" s="215"/>
      <c r="B28" s="215"/>
      <c r="C28" s="213">
        <v>917</v>
      </c>
      <c r="D28" s="212" t="s">
        <v>963</v>
      </c>
      <c r="E28" s="212"/>
      <c r="F28" s="215"/>
    </row>
    <row r="29" spans="1:6" ht="15" thickBot="1">
      <c r="A29" s="215"/>
      <c r="B29" s="215" t="s">
        <v>956</v>
      </c>
      <c r="C29" s="213">
        <v>920</v>
      </c>
      <c r="D29" s="212" t="s">
        <v>922</v>
      </c>
      <c r="E29" s="212"/>
      <c r="F29" s="215"/>
    </row>
    <row r="30" spans="1:6" ht="15" thickBot="1">
      <c r="A30" s="215"/>
      <c r="B30" s="215"/>
      <c r="C30" s="212"/>
      <c r="D30" s="212"/>
      <c r="E30" s="212"/>
      <c r="F30" s="215"/>
    </row>
    <row r="31" spans="1:6" ht="15" thickBot="1">
      <c r="A31" s="217">
        <v>917</v>
      </c>
      <c r="B31" s="216" t="s">
        <v>964</v>
      </c>
      <c r="C31" s="213">
        <v>915</v>
      </c>
      <c r="D31" s="212" t="s">
        <v>917</v>
      </c>
      <c r="E31" s="213">
        <v>101</v>
      </c>
      <c r="F31" s="215" t="s">
        <v>965</v>
      </c>
    </row>
    <row r="32" spans="1:6" ht="15" thickBot="1">
      <c r="A32" s="215"/>
      <c r="B32" s="215"/>
      <c r="C32" s="212"/>
      <c r="D32" s="212"/>
      <c r="E32" s="212"/>
      <c r="F32" s="215"/>
    </row>
    <row r="33" spans="1:6" ht="15" thickBot="1">
      <c r="A33" s="217">
        <v>916</v>
      </c>
      <c r="B33" s="216" t="s">
        <v>538</v>
      </c>
      <c r="C33" s="213">
        <v>905</v>
      </c>
      <c r="D33" s="212" t="s">
        <v>907</v>
      </c>
      <c r="E33" s="213">
        <v>101</v>
      </c>
      <c r="F33" s="215" t="s">
        <v>966</v>
      </c>
    </row>
    <row r="34" spans="1:6" ht="15" thickBot="1">
      <c r="A34" s="215"/>
      <c r="B34" s="215"/>
      <c r="C34" s="213">
        <v>915</v>
      </c>
      <c r="D34" s="212" t="s">
        <v>917</v>
      </c>
      <c r="E34" s="212"/>
      <c r="F34" s="215"/>
    </row>
    <row r="35" spans="1:6" ht="15" thickBot="1">
      <c r="A35" s="215"/>
      <c r="B35" s="215"/>
      <c r="C35" s="213">
        <v>931</v>
      </c>
      <c r="D35" s="212" t="s">
        <v>918</v>
      </c>
      <c r="E35" s="212"/>
      <c r="F35" s="215"/>
    </row>
    <row r="36" spans="1:6" ht="15" thickBot="1">
      <c r="A36" s="215"/>
      <c r="B36" s="215"/>
      <c r="C36" s="212"/>
      <c r="D36" s="212"/>
      <c r="E36" s="212"/>
      <c r="F36" s="215"/>
    </row>
  </sheetData>
  <mergeCells count="2">
    <mergeCell ref="C1:D1"/>
    <mergeCell ref="E1:F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CD37F-6375-4175-839F-9595D9E8DD60}">
  <dimension ref="B1:J3"/>
  <sheetViews>
    <sheetView workbookViewId="0">
      <selection activeCell="B2" sqref="B2:J3"/>
    </sheetView>
  </sheetViews>
  <sheetFormatPr defaultColWidth="8.69140625" defaultRowHeight="14.6"/>
  <cols>
    <col min="2" max="2" width="12.15234375" bestFit="1" customWidth="1"/>
    <col min="3" max="3" width="11.3046875" bestFit="1" customWidth="1"/>
    <col min="4" max="5" width="11.69140625" bestFit="1" customWidth="1"/>
    <col min="6" max="6" width="5.15234375" bestFit="1" customWidth="1"/>
    <col min="7" max="7" width="7.3046875" bestFit="1" customWidth="1"/>
    <col min="8" max="8" width="34.69140625" bestFit="1" customWidth="1"/>
    <col min="9" max="9" width="10.3046875" bestFit="1" customWidth="1"/>
    <col min="10" max="10" width="17.69140625" bestFit="1" customWidth="1"/>
  </cols>
  <sheetData>
    <row r="1" spans="2:10" ht="15" thickBot="1"/>
    <row r="2" spans="2:10" ht="15" thickBot="1">
      <c r="B2" s="80" t="s">
        <v>967</v>
      </c>
      <c r="C2" s="80" t="s">
        <v>968</v>
      </c>
      <c r="D2" s="81" t="s">
        <v>969</v>
      </c>
      <c r="E2" s="81" t="s">
        <v>970</v>
      </c>
      <c r="F2" s="80" t="s">
        <v>971</v>
      </c>
      <c r="G2" s="82" t="s">
        <v>972</v>
      </c>
      <c r="H2" s="82" t="s">
        <v>973</v>
      </c>
      <c r="I2" s="80" t="s">
        <v>10</v>
      </c>
      <c r="J2" s="80" t="s">
        <v>974</v>
      </c>
    </row>
    <row r="3" spans="2:10">
      <c r="B3" s="94" t="s">
        <v>975</v>
      </c>
      <c r="C3" s="85" t="s">
        <v>976</v>
      </c>
      <c r="D3" s="89">
        <v>24491</v>
      </c>
      <c r="E3" s="102" t="s">
        <v>977</v>
      </c>
      <c r="F3" s="85"/>
      <c r="G3" s="96" t="s">
        <v>978</v>
      </c>
      <c r="H3" s="103" t="s">
        <v>979</v>
      </c>
      <c r="I3" s="85" t="s">
        <v>980</v>
      </c>
      <c r="J3" s="85" t="s">
        <v>981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23EF5-7931-4A5F-B16E-3583673DB5E6}">
  <dimension ref="B1:P42"/>
  <sheetViews>
    <sheetView zoomScale="130" zoomScaleNormal="130" workbookViewId="0">
      <pane ySplit="1" topLeftCell="A2" activePane="bottomLeft" state="frozen"/>
      <selection pane="bottomLeft"/>
    </sheetView>
  </sheetViews>
  <sheetFormatPr defaultColWidth="8.69140625" defaultRowHeight="14.6"/>
  <cols>
    <col min="2" max="2" width="16.15234375" style="93" bestFit="1" customWidth="1"/>
    <col min="3" max="3" width="19.3046875" style="93" bestFit="1" customWidth="1"/>
    <col min="4" max="4" width="34.69140625" style="93" bestFit="1" customWidth="1"/>
    <col min="5" max="6" width="16.3046875" style="93" bestFit="1" customWidth="1"/>
    <col min="7" max="7" width="9.69140625" style="93" bestFit="1" customWidth="1"/>
    <col min="8" max="8" width="12.15234375" style="93" bestFit="1" customWidth="1"/>
    <col min="9" max="9" width="38.15234375" style="93" bestFit="1" customWidth="1"/>
    <col min="10" max="10" width="12.3046875" style="93" bestFit="1" customWidth="1"/>
    <col min="11" max="11" width="21.15234375" customWidth="1"/>
    <col min="12" max="12" width="17.69140625" bestFit="1" customWidth="1"/>
    <col min="13" max="13" width="34.69140625" bestFit="1" customWidth="1"/>
  </cols>
  <sheetData>
    <row r="1" spans="2:11">
      <c r="B1" s="80" t="s">
        <v>967</v>
      </c>
      <c r="C1" s="80" t="s">
        <v>968</v>
      </c>
      <c r="D1" s="80" t="s">
        <v>982</v>
      </c>
      <c r="E1" s="81" t="s">
        <v>969</v>
      </c>
      <c r="F1" s="81" t="s">
        <v>970</v>
      </c>
      <c r="G1" s="80" t="s">
        <v>971</v>
      </c>
      <c r="H1" s="82" t="s">
        <v>972</v>
      </c>
      <c r="I1" s="82" t="s">
        <v>973</v>
      </c>
      <c r="J1" s="80" t="s">
        <v>10</v>
      </c>
      <c r="K1" s="80" t="s">
        <v>974</v>
      </c>
    </row>
    <row r="2" spans="2:11">
      <c r="B2" s="94" t="s">
        <v>983</v>
      </c>
      <c r="C2" s="83" t="s">
        <v>984</v>
      </c>
      <c r="D2" s="83">
        <v>1</v>
      </c>
      <c r="E2" s="84">
        <v>31153</v>
      </c>
      <c r="F2" s="95" t="s">
        <v>985</v>
      </c>
      <c r="G2" s="85" t="s">
        <v>986</v>
      </c>
      <c r="H2" s="96" t="s">
        <v>987</v>
      </c>
      <c r="I2" s="97" t="s">
        <v>988</v>
      </c>
      <c r="J2" s="83"/>
      <c r="K2" s="83" t="s">
        <v>989</v>
      </c>
    </row>
    <row r="3" spans="2:11">
      <c r="B3" s="98" t="s">
        <v>990</v>
      </c>
      <c r="C3" s="87" t="s">
        <v>991</v>
      </c>
      <c r="D3" s="87">
        <v>0</v>
      </c>
      <c r="E3" s="88">
        <v>24978</v>
      </c>
      <c r="F3" s="99" t="s">
        <v>992</v>
      </c>
      <c r="G3" s="87"/>
      <c r="H3" s="100" t="s">
        <v>978</v>
      </c>
      <c r="I3" s="101" t="s">
        <v>993</v>
      </c>
      <c r="J3" s="87"/>
      <c r="K3" s="87" t="s">
        <v>994</v>
      </c>
    </row>
    <row r="4" spans="2:11">
      <c r="B4" s="94" t="s">
        <v>995</v>
      </c>
      <c r="C4" s="85" t="s">
        <v>996</v>
      </c>
      <c r="D4" s="85"/>
      <c r="E4" s="89">
        <v>22091</v>
      </c>
      <c r="F4" s="102" t="s">
        <v>997</v>
      </c>
      <c r="G4" s="85" t="s">
        <v>986</v>
      </c>
      <c r="H4" s="96" t="s">
        <v>987</v>
      </c>
      <c r="I4" s="103" t="s">
        <v>998</v>
      </c>
      <c r="J4" s="85" t="s">
        <v>999</v>
      </c>
      <c r="K4" s="85"/>
    </row>
    <row r="5" spans="2:11">
      <c r="B5" s="94" t="s">
        <v>1000</v>
      </c>
      <c r="C5" s="85"/>
      <c r="D5" s="85"/>
      <c r="E5" s="89"/>
      <c r="F5" s="102"/>
      <c r="G5" s="85"/>
      <c r="H5" s="96"/>
      <c r="I5" s="103"/>
      <c r="J5" s="85"/>
      <c r="K5" s="85"/>
    </row>
    <row r="6" spans="2:11">
      <c r="B6" s="98"/>
      <c r="C6" s="87"/>
      <c r="D6" s="87"/>
      <c r="E6" s="87"/>
      <c r="F6" s="99"/>
      <c r="G6" s="87"/>
      <c r="H6" s="100"/>
      <c r="I6" s="101"/>
      <c r="J6" s="87"/>
      <c r="K6" s="87"/>
    </row>
    <row r="7" spans="2:11">
      <c r="B7" s="94" t="s">
        <v>975</v>
      </c>
      <c r="C7" s="85" t="s">
        <v>976</v>
      </c>
      <c r="D7" s="85"/>
      <c r="E7" s="89">
        <v>24491</v>
      </c>
      <c r="F7" s="102" t="s">
        <v>977</v>
      </c>
      <c r="G7" s="85"/>
      <c r="H7" s="96" t="s">
        <v>978</v>
      </c>
      <c r="I7" s="103" t="s">
        <v>979</v>
      </c>
      <c r="J7" s="85" t="s">
        <v>980</v>
      </c>
      <c r="K7" s="85" t="s">
        <v>981</v>
      </c>
    </row>
    <row r="8" spans="2:11">
      <c r="B8" s="104"/>
      <c r="C8" s="87"/>
      <c r="D8" s="87"/>
      <c r="E8" s="87"/>
      <c r="F8" s="99"/>
      <c r="G8" s="87"/>
      <c r="H8" s="100"/>
      <c r="I8" s="101"/>
      <c r="J8" s="87"/>
      <c r="K8" s="87"/>
    </row>
    <row r="9" spans="2:11">
      <c r="B9" s="105" t="s">
        <v>1001</v>
      </c>
      <c r="C9" s="85" t="s">
        <v>1002</v>
      </c>
      <c r="D9" s="85"/>
      <c r="E9" s="89">
        <v>26510</v>
      </c>
      <c r="F9" s="102" t="s">
        <v>709</v>
      </c>
      <c r="G9" s="85" t="s">
        <v>1003</v>
      </c>
      <c r="H9" s="96" t="s">
        <v>987</v>
      </c>
      <c r="I9" s="103" t="s">
        <v>1004</v>
      </c>
      <c r="J9" s="85" t="s">
        <v>145</v>
      </c>
      <c r="K9" s="85" t="s">
        <v>1005</v>
      </c>
    </row>
    <row r="10" spans="2:11">
      <c r="B10" s="98" t="s">
        <v>1006</v>
      </c>
      <c r="C10" s="87" t="s">
        <v>1002</v>
      </c>
      <c r="D10" s="87"/>
      <c r="E10" s="88">
        <v>26507</v>
      </c>
      <c r="F10" s="99" t="s">
        <v>1007</v>
      </c>
      <c r="G10" s="87" t="s">
        <v>986</v>
      </c>
      <c r="H10" s="100" t="s">
        <v>987</v>
      </c>
      <c r="I10" s="103" t="s">
        <v>1004</v>
      </c>
      <c r="J10" s="101" t="s">
        <v>144</v>
      </c>
      <c r="K10" s="101" t="s">
        <v>1008</v>
      </c>
    </row>
    <row r="11" spans="2:11">
      <c r="B11" s="94"/>
      <c r="C11" s="85"/>
      <c r="D11" s="85"/>
      <c r="E11" s="85"/>
      <c r="F11" s="102"/>
      <c r="G11" s="85"/>
      <c r="H11" s="96"/>
      <c r="I11" s="103"/>
      <c r="J11" s="85"/>
      <c r="K11" s="85"/>
    </row>
    <row r="12" spans="2:11">
      <c r="B12" s="98" t="s">
        <v>1009</v>
      </c>
      <c r="C12" s="87" t="s">
        <v>1002</v>
      </c>
      <c r="D12" s="87"/>
      <c r="E12" s="88">
        <v>36724</v>
      </c>
      <c r="F12" s="99" t="s">
        <v>1010</v>
      </c>
      <c r="G12" s="87"/>
      <c r="H12" s="100" t="s">
        <v>1011</v>
      </c>
      <c r="I12" s="103" t="s">
        <v>1004</v>
      </c>
      <c r="J12" s="87"/>
      <c r="K12" s="87" t="s">
        <v>1012</v>
      </c>
    </row>
    <row r="13" spans="2:11">
      <c r="B13" s="94" t="s">
        <v>1013</v>
      </c>
      <c r="C13" s="85" t="s">
        <v>1002</v>
      </c>
      <c r="D13" s="85"/>
      <c r="E13" s="89">
        <v>36659</v>
      </c>
      <c r="F13" s="102" t="s">
        <v>1014</v>
      </c>
      <c r="G13" s="85" t="s">
        <v>1015</v>
      </c>
      <c r="H13" s="96" t="s">
        <v>987</v>
      </c>
      <c r="I13" s="103" t="s">
        <v>1016</v>
      </c>
      <c r="J13" s="85" t="s">
        <v>1017</v>
      </c>
      <c r="K13" s="85" t="s">
        <v>1018</v>
      </c>
    </row>
    <row r="14" spans="2:11">
      <c r="B14" s="98"/>
      <c r="C14" s="87"/>
      <c r="D14" s="87"/>
      <c r="E14" s="87"/>
      <c r="F14" s="99"/>
      <c r="G14" s="90"/>
      <c r="H14" s="100"/>
      <c r="I14" s="101"/>
      <c r="J14" s="87"/>
      <c r="K14" s="87"/>
    </row>
    <row r="15" spans="2:11">
      <c r="B15" s="94"/>
      <c r="C15" s="85"/>
      <c r="D15" s="85"/>
      <c r="E15" s="85"/>
      <c r="F15" s="102"/>
      <c r="G15" s="91"/>
      <c r="H15" s="96"/>
      <c r="I15" s="103"/>
      <c r="J15" s="85"/>
      <c r="K15" s="85"/>
    </row>
    <row r="16" spans="2:11">
      <c r="B16" s="104"/>
      <c r="C16" s="87"/>
      <c r="D16" s="87"/>
      <c r="E16" s="87"/>
      <c r="F16" s="99"/>
      <c r="G16" s="87"/>
      <c r="H16" s="106"/>
      <c r="I16" s="101"/>
      <c r="J16" s="87"/>
      <c r="K16" s="87"/>
    </row>
    <row r="17" spans="2:13">
      <c r="B17" s="94" t="s">
        <v>1019</v>
      </c>
      <c r="C17" s="85" t="s">
        <v>1002</v>
      </c>
      <c r="D17" s="85"/>
      <c r="E17" s="85"/>
      <c r="F17" s="102"/>
      <c r="G17" s="91"/>
      <c r="H17" s="96"/>
      <c r="I17" s="103" t="s">
        <v>1016</v>
      </c>
      <c r="J17" s="85"/>
      <c r="K17" s="85" t="s">
        <v>1020</v>
      </c>
      <c r="L17" s="85" t="s">
        <v>1021</v>
      </c>
      <c r="M17" s="85" t="s">
        <v>1022</v>
      </c>
    </row>
    <row r="18" spans="2:13">
      <c r="B18" s="104" t="s">
        <v>1023</v>
      </c>
      <c r="C18" s="87" t="s">
        <v>1002</v>
      </c>
      <c r="D18" s="87" t="s">
        <v>1024</v>
      </c>
      <c r="E18" s="88">
        <v>25904</v>
      </c>
      <c r="F18" s="99" t="s">
        <v>1007</v>
      </c>
      <c r="G18" s="87" t="s">
        <v>1025</v>
      </c>
      <c r="H18" s="106" t="s">
        <v>987</v>
      </c>
      <c r="I18" s="103" t="s">
        <v>1016</v>
      </c>
      <c r="J18" s="87"/>
      <c r="K18" s="87" t="s">
        <v>1026</v>
      </c>
      <c r="L18" s="87" t="s">
        <v>1027</v>
      </c>
      <c r="M18" s="87"/>
    </row>
    <row r="19" spans="2:13">
      <c r="B19" s="107"/>
      <c r="C19" s="92"/>
      <c r="D19" s="92"/>
      <c r="E19" s="92"/>
      <c r="F19" s="108"/>
      <c r="G19" s="92"/>
      <c r="H19" s="109"/>
      <c r="I19" s="110"/>
      <c r="J19" s="92"/>
      <c r="K19" s="92"/>
    </row>
    <row r="21" spans="2:13">
      <c r="B21" s="93" t="s">
        <v>1028</v>
      </c>
      <c r="E21" s="140">
        <v>35941</v>
      </c>
    </row>
    <row r="23" spans="2:13">
      <c r="E23" s="93">
        <v>1967</v>
      </c>
    </row>
    <row r="24" spans="2:13">
      <c r="B24" s="209">
        <v>1000000</v>
      </c>
      <c r="E24" s="93">
        <v>2023</v>
      </c>
    </row>
    <row r="26" spans="2:13">
      <c r="B26" s="209">
        <v>5483.41</v>
      </c>
      <c r="C26" s="220">
        <f>B26/B24</f>
        <v>5.4834100000000002E-3</v>
      </c>
      <c r="E26" s="93">
        <f>E24-E23</f>
        <v>56</v>
      </c>
    </row>
    <row r="28" spans="2:13">
      <c r="B28" s="93" t="s">
        <v>1029</v>
      </c>
      <c r="C28" s="93" t="s">
        <v>1030</v>
      </c>
      <c r="D28" s="93">
        <v>48976</v>
      </c>
    </row>
    <row r="29" spans="2:13">
      <c r="C29" s="93" t="s">
        <v>507</v>
      </c>
      <c r="D29" s="93">
        <v>15344273</v>
      </c>
      <c r="I29" s="93">
        <v>0</v>
      </c>
    </row>
    <row r="38" spans="8:16">
      <c r="H38" s="141"/>
      <c r="P38" s="161"/>
    </row>
    <row r="42" spans="8:16">
      <c r="P42" s="161"/>
    </row>
  </sheetData>
  <autoFilter ref="B1:I1" xr:uid="{4390A10B-D4AE-4C46-A022-03920973F51C}"/>
  <phoneticPr fontId="13" type="noConversion"/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66FFE-FD7D-40A2-A3CD-E745AC571708}">
  <dimension ref="B1:Q41"/>
  <sheetViews>
    <sheetView zoomScale="130" zoomScaleNormal="130" workbookViewId="0">
      <pane ySplit="1" topLeftCell="A2" activePane="bottomLeft" state="frozen"/>
      <selection pane="bottomLeft" activeCell="B19" sqref="B19"/>
    </sheetView>
  </sheetViews>
  <sheetFormatPr defaultColWidth="8.69140625" defaultRowHeight="14.6"/>
  <cols>
    <col min="2" max="2" width="16.15234375" style="93" bestFit="1" customWidth="1"/>
    <col min="3" max="3" width="19.3046875" style="93" bestFit="1" customWidth="1"/>
    <col min="4" max="4" width="34.69140625" style="93" bestFit="1" customWidth="1"/>
    <col min="5" max="5" width="34.69140625" style="93" customWidth="1"/>
    <col min="6" max="7" width="16.3046875" style="93" bestFit="1" customWidth="1"/>
    <col min="8" max="8" width="9.69140625" style="93" bestFit="1" customWidth="1"/>
    <col min="9" max="9" width="12.15234375" style="93" bestFit="1" customWidth="1"/>
    <col min="10" max="10" width="38.15234375" style="93" bestFit="1" customWidth="1"/>
    <col min="11" max="11" width="12.3046875" style="93" bestFit="1" customWidth="1"/>
    <col min="12" max="12" width="21.15234375" customWidth="1"/>
    <col min="13" max="13" width="17.69140625" bestFit="1" customWidth="1"/>
    <col min="14" max="14" width="34.69140625" bestFit="1" customWidth="1"/>
  </cols>
  <sheetData>
    <row r="1" spans="2:14" ht="15" thickBot="1">
      <c r="B1" s="80" t="s">
        <v>967</v>
      </c>
      <c r="C1" s="80" t="s">
        <v>968</v>
      </c>
      <c r="D1" s="80" t="s">
        <v>1031</v>
      </c>
      <c r="E1" s="80" t="s">
        <v>1032</v>
      </c>
      <c r="F1" s="81" t="s">
        <v>969</v>
      </c>
      <c r="G1" s="81" t="s">
        <v>970</v>
      </c>
      <c r="H1" s="80" t="s">
        <v>971</v>
      </c>
      <c r="I1" s="82" t="s">
        <v>972</v>
      </c>
      <c r="J1" s="82" t="s">
        <v>973</v>
      </c>
      <c r="K1" s="80" t="s">
        <v>10</v>
      </c>
      <c r="L1" s="80" t="s">
        <v>974</v>
      </c>
    </row>
    <row r="2" spans="2:14">
      <c r="B2" s="94" t="s">
        <v>983</v>
      </c>
      <c r="C2" s="83" t="s">
        <v>984</v>
      </c>
      <c r="D2" s="83">
        <v>1</v>
      </c>
      <c r="E2" s="83"/>
      <c r="F2" s="84">
        <v>31153</v>
      </c>
      <c r="G2" s="95" t="s">
        <v>985</v>
      </c>
      <c r="H2" s="85" t="s">
        <v>986</v>
      </c>
      <c r="I2" s="96" t="s">
        <v>987</v>
      </c>
      <c r="J2" s="97" t="s">
        <v>988</v>
      </c>
      <c r="K2" s="83"/>
      <c r="L2" s="83" t="s">
        <v>989</v>
      </c>
    </row>
    <row r="3" spans="2:14">
      <c r="B3" s="98"/>
      <c r="C3" s="87"/>
      <c r="D3" s="87"/>
      <c r="E3" s="87"/>
      <c r="F3" s="87"/>
      <c r="G3" s="99"/>
      <c r="H3" s="87"/>
      <c r="I3" s="100"/>
      <c r="J3" s="101"/>
      <c r="K3" s="87"/>
      <c r="L3" s="87"/>
    </row>
    <row r="4" spans="2:14">
      <c r="B4" s="94" t="s">
        <v>975</v>
      </c>
      <c r="C4" s="85" t="s">
        <v>976</v>
      </c>
      <c r="D4" s="85" t="s">
        <v>1033</v>
      </c>
      <c r="E4" s="85"/>
      <c r="F4" s="89">
        <v>24491</v>
      </c>
      <c r="G4" s="102" t="s">
        <v>977</v>
      </c>
      <c r="H4" s="85"/>
      <c r="I4" s="96" t="s">
        <v>978</v>
      </c>
      <c r="J4" s="103" t="s">
        <v>979</v>
      </c>
      <c r="K4" s="85" t="s">
        <v>980</v>
      </c>
      <c r="L4" s="85" t="s">
        <v>981</v>
      </c>
    </row>
    <row r="5" spans="2:14">
      <c r="B5" s="104"/>
      <c r="C5" s="87"/>
      <c r="D5" s="87"/>
      <c r="E5" s="87"/>
      <c r="F5" s="87"/>
      <c r="G5" s="99"/>
      <c r="H5" s="87"/>
      <c r="I5" s="100"/>
      <c r="J5" s="101"/>
      <c r="K5" s="87"/>
      <c r="L5" s="87"/>
    </row>
    <row r="6" spans="2:14">
      <c r="B6" s="105" t="s">
        <v>1001</v>
      </c>
      <c r="C6" s="85" t="s">
        <v>1002</v>
      </c>
      <c r="D6" s="85" t="s">
        <v>1034</v>
      </c>
      <c r="E6" s="85"/>
      <c r="F6" s="89">
        <v>26510</v>
      </c>
      <c r="G6" s="102" t="s">
        <v>709</v>
      </c>
      <c r="H6" s="85" t="s">
        <v>1003</v>
      </c>
      <c r="I6" s="96" t="s">
        <v>987</v>
      </c>
      <c r="J6" s="103" t="s">
        <v>1424</v>
      </c>
      <c r="K6" s="85" t="s">
        <v>145</v>
      </c>
      <c r="L6" s="85" t="s">
        <v>1005</v>
      </c>
    </row>
    <row r="7" spans="2:14">
      <c r="B7" s="98" t="s">
        <v>1006</v>
      </c>
      <c r="C7" s="87" t="s">
        <v>1002</v>
      </c>
      <c r="D7" s="87" t="s">
        <v>1035</v>
      </c>
      <c r="E7" s="87"/>
      <c r="F7" s="88">
        <v>26507</v>
      </c>
      <c r="G7" s="99" t="s">
        <v>1007</v>
      </c>
      <c r="H7" s="87" t="s">
        <v>986</v>
      </c>
      <c r="I7" s="100" t="s">
        <v>987</v>
      </c>
      <c r="J7" s="103" t="s">
        <v>1424</v>
      </c>
      <c r="K7" s="101" t="s">
        <v>144</v>
      </c>
      <c r="L7" s="101" t="s">
        <v>1008</v>
      </c>
    </row>
    <row r="8" spans="2:14">
      <c r="B8" s="94"/>
      <c r="C8" s="85"/>
      <c r="D8" s="85"/>
      <c r="E8" s="85"/>
      <c r="F8" s="85"/>
      <c r="G8" s="102"/>
      <c r="H8" s="85"/>
      <c r="I8" s="96"/>
      <c r="J8" s="103"/>
      <c r="K8" s="85"/>
      <c r="L8" s="85"/>
    </row>
    <row r="9" spans="2:14">
      <c r="B9" s="98" t="s">
        <v>1009</v>
      </c>
      <c r="C9" s="87" t="s">
        <v>1002</v>
      </c>
      <c r="D9" s="87"/>
      <c r="E9" s="87"/>
      <c r="F9" s="88">
        <v>36724</v>
      </c>
      <c r="G9" s="99" t="s">
        <v>1423</v>
      </c>
      <c r="H9" s="87"/>
      <c r="I9" s="100" t="s">
        <v>1011</v>
      </c>
      <c r="J9" s="103" t="s">
        <v>1424</v>
      </c>
      <c r="K9" s="87"/>
      <c r="L9" s="87" t="s">
        <v>1012</v>
      </c>
    </row>
    <row r="10" spans="2:14">
      <c r="B10" s="94" t="s">
        <v>1013</v>
      </c>
      <c r="C10" s="85" t="s">
        <v>1002</v>
      </c>
      <c r="D10" s="85"/>
      <c r="E10" s="85"/>
      <c r="F10" s="89">
        <v>36659</v>
      </c>
      <c r="G10" s="102" t="s">
        <v>1014</v>
      </c>
      <c r="H10" s="85" t="s">
        <v>1015</v>
      </c>
      <c r="I10" s="96" t="s">
        <v>987</v>
      </c>
      <c r="J10" s="103" t="s">
        <v>1016</v>
      </c>
      <c r="K10" s="85" t="s">
        <v>1017</v>
      </c>
      <c r="L10" s="85" t="s">
        <v>1018</v>
      </c>
    </row>
    <row r="11" spans="2:14">
      <c r="B11" s="98" t="s">
        <v>1036</v>
      </c>
      <c r="C11" s="87" t="s">
        <v>1002</v>
      </c>
      <c r="D11" s="87" t="s">
        <v>1037</v>
      </c>
      <c r="E11" s="87"/>
      <c r="F11" s="88">
        <v>38585</v>
      </c>
      <c r="G11" s="99" t="s">
        <v>1038</v>
      </c>
      <c r="H11" s="90"/>
      <c r="I11" s="100" t="s">
        <v>1011</v>
      </c>
      <c r="J11" s="101" t="s">
        <v>1424</v>
      </c>
      <c r="K11" s="87" t="s">
        <v>720</v>
      </c>
      <c r="L11" s="87" t="s">
        <v>1039</v>
      </c>
    </row>
    <row r="12" spans="2:14">
      <c r="B12" s="94"/>
      <c r="C12" s="85"/>
      <c r="D12" s="85"/>
      <c r="E12" s="85"/>
      <c r="F12" s="85"/>
      <c r="G12" s="102"/>
      <c r="H12" s="91"/>
      <c r="I12" s="96"/>
      <c r="J12" s="103"/>
      <c r="K12" s="85"/>
      <c r="L12" s="85"/>
    </row>
    <row r="13" spans="2:14">
      <c r="B13" s="104"/>
      <c r="C13" s="87"/>
      <c r="D13" s="87"/>
      <c r="E13" s="87"/>
      <c r="F13" s="87"/>
      <c r="G13" s="99"/>
      <c r="H13" s="87"/>
      <c r="I13" s="106"/>
      <c r="J13" s="101"/>
      <c r="K13" s="87"/>
      <c r="L13" s="87"/>
    </row>
    <row r="14" spans="2:14">
      <c r="B14" s="94" t="s">
        <v>1019</v>
      </c>
      <c r="C14" s="85" t="s">
        <v>1002</v>
      </c>
      <c r="D14" s="85"/>
      <c r="E14" s="85"/>
      <c r="F14" s="85"/>
      <c r="G14" s="102"/>
      <c r="H14" s="91"/>
      <c r="I14" s="96"/>
      <c r="J14" s="103" t="s">
        <v>1016</v>
      </c>
      <c r="K14" s="85"/>
      <c r="L14" s="85" t="s">
        <v>1020</v>
      </c>
      <c r="M14" s="85" t="s">
        <v>1021</v>
      </c>
      <c r="N14" s="85" t="s">
        <v>1022</v>
      </c>
    </row>
    <row r="15" spans="2:14">
      <c r="B15" s="104" t="s">
        <v>1023</v>
      </c>
      <c r="C15" s="87" t="s">
        <v>1002</v>
      </c>
      <c r="D15" s="87" t="s">
        <v>1024</v>
      </c>
      <c r="E15" s="87"/>
      <c r="F15" s="88">
        <v>25904</v>
      </c>
      <c r="G15" s="99" t="s">
        <v>1007</v>
      </c>
      <c r="H15" s="87" t="s">
        <v>1025</v>
      </c>
      <c r="I15" s="106" t="s">
        <v>987</v>
      </c>
      <c r="J15" s="103" t="s">
        <v>1016</v>
      </c>
      <c r="K15" s="87"/>
      <c r="L15" s="87" t="s">
        <v>1026</v>
      </c>
      <c r="M15" s="87" t="s">
        <v>1027</v>
      </c>
      <c r="N15" s="87"/>
    </row>
    <row r="16" spans="2:14">
      <c r="B16" s="364"/>
      <c r="C16" s="365"/>
      <c r="D16" s="365"/>
      <c r="E16" s="365"/>
      <c r="F16" s="366"/>
      <c r="G16" s="367"/>
      <c r="H16" s="365"/>
      <c r="I16" s="368"/>
      <c r="J16" s="369"/>
      <c r="K16" s="365"/>
      <c r="L16" s="365"/>
      <c r="M16" s="93"/>
      <c r="N16" s="93"/>
    </row>
    <row r="17" spans="2:14">
      <c r="B17" s="364"/>
      <c r="C17" s="365"/>
      <c r="D17" s="365"/>
      <c r="E17" s="365"/>
      <c r="F17" s="366"/>
      <c r="G17" s="367"/>
      <c r="H17" s="365"/>
      <c r="I17" s="368"/>
      <c r="J17" s="369"/>
      <c r="K17" s="365"/>
      <c r="L17" s="365"/>
      <c r="M17" s="93"/>
      <c r="N17" s="93"/>
    </row>
    <row r="18" spans="2:14" ht="15" thickBot="1">
      <c r="B18" s="107" t="s">
        <v>1428</v>
      </c>
      <c r="C18" s="92" t="s">
        <v>1429</v>
      </c>
      <c r="D18" s="92"/>
      <c r="E18" s="92"/>
      <c r="F18" s="370">
        <v>32760</v>
      </c>
      <c r="G18" s="108"/>
      <c r="H18" s="92"/>
      <c r="I18" s="109"/>
      <c r="J18" s="110"/>
      <c r="K18" s="92" t="s">
        <v>1430</v>
      </c>
      <c r="L18" s="92"/>
    </row>
    <row r="19" spans="2:14">
      <c r="B19" s="93" t="s">
        <v>78</v>
      </c>
    </row>
    <row r="20" spans="2:14">
      <c r="F20" s="140"/>
    </row>
    <row r="23" spans="2:14">
      <c r="B23" s="209"/>
    </row>
    <row r="25" spans="2:14">
      <c r="B25" s="209"/>
      <c r="C25" s="220"/>
    </row>
    <row r="27" spans="2:14">
      <c r="B27" s="93" t="s">
        <v>1029</v>
      </c>
      <c r="C27" s="93" t="s">
        <v>1030</v>
      </c>
      <c r="D27" s="93">
        <v>48976</v>
      </c>
    </row>
    <row r="28" spans="2:14">
      <c r="C28" s="93" t="s">
        <v>507</v>
      </c>
      <c r="D28" s="93">
        <v>15344273</v>
      </c>
      <c r="J28" s="93">
        <v>0</v>
      </c>
    </row>
    <row r="37" spans="9:17">
      <c r="I37" s="141"/>
      <c r="Q37" s="161"/>
    </row>
    <row r="41" spans="9:17">
      <c r="Q41" s="161"/>
    </row>
  </sheetData>
  <autoFilter ref="B1:J1" xr:uid="{4390A10B-D4AE-4C46-A022-03920973F51C}"/>
  <phoneticPr fontId="13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381E2-3CBF-45A8-824B-7E0831B518EE}">
  <dimension ref="C1:K28"/>
  <sheetViews>
    <sheetView workbookViewId="0">
      <selection activeCell="C30" sqref="C30"/>
    </sheetView>
  </sheetViews>
  <sheetFormatPr defaultColWidth="8.69140625" defaultRowHeight="14.6" outlineLevelRow="1"/>
  <cols>
    <col min="3" max="3" width="28" bestFit="1" customWidth="1"/>
    <col min="4" max="4" width="21.3046875" style="219" customWidth="1"/>
    <col min="5" max="6" width="13.3046875" style="218" customWidth="1"/>
    <col min="7" max="8" width="10.3046875" style="218" bestFit="1" customWidth="1"/>
    <col min="9" max="9" width="27.3046875" bestFit="1" customWidth="1"/>
    <col min="10" max="10" width="27.3046875" customWidth="1"/>
    <col min="11" max="11" width="12.15234375" bestFit="1" customWidth="1"/>
  </cols>
  <sheetData>
    <row r="1" spans="3:11">
      <c r="E1" s="388" t="s">
        <v>1040</v>
      </c>
      <c r="F1" s="388"/>
      <c r="G1" s="388" t="s">
        <v>1041</v>
      </c>
      <c r="H1" s="388"/>
    </row>
    <row r="2" spans="3:11">
      <c r="D2" s="219" t="s">
        <v>1042</v>
      </c>
      <c r="E2" s="218" t="s">
        <v>12</v>
      </c>
      <c r="F2" s="218" t="s">
        <v>1043</v>
      </c>
      <c r="G2" s="218" t="s">
        <v>12</v>
      </c>
      <c r="H2" s="218" t="s">
        <v>1043</v>
      </c>
      <c r="I2" s="218" t="s">
        <v>1044</v>
      </c>
      <c r="J2" s="218"/>
      <c r="K2" s="218" t="s">
        <v>1045</v>
      </c>
    </row>
    <row r="3" spans="3:11">
      <c r="C3" t="s">
        <v>107</v>
      </c>
      <c r="D3" s="219" t="s">
        <v>111</v>
      </c>
      <c r="E3" s="218">
        <v>44651</v>
      </c>
      <c r="F3" s="218">
        <v>44651</v>
      </c>
      <c r="I3" t="s">
        <v>1046</v>
      </c>
      <c r="K3" t="s">
        <v>134</v>
      </c>
    </row>
    <row r="4" spans="3:11">
      <c r="C4" t="s">
        <v>1047</v>
      </c>
      <c r="D4" s="219">
        <v>44716</v>
      </c>
      <c r="E4" s="218">
        <v>44657</v>
      </c>
      <c r="F4" s="218">
        <v>44657</v>
      </c>
      <c r="I4" t="s">
        <v>1048</v>
      </c>
      <c r="K4" t="s">
        <v>134</v>
      </c>
    </row>
    <row r="5" spans="3:11">
      <c r="C5" t="s">
        <v>161</v>
      </c>
      <c r="D5" s="219">
        <v>44662</v>
      </c>
      <c r="E5" s="218">
        <v>44662</v>
      </c>
      <c r="F5" s="218">
        <v>44662</v>
      </c>
      <c r="I5" t="s">
        <v>1049</v>
      </c>
      <c r="K5" t="s">
        <v>1050</v>
      </c>
    </row>
    <row r="6" spans="3:11">
      <c r="C6" t="s">
        <v>178</v>
      </c>
      <c r="D6" s="219">
        <v>36655</v>
      </c>
      <c r="E6" s="218">
        <v>36655</v>
      </c>
      <c r="F6" s="218">
        <v>40875</v>
      </c>
      <c r="I6" t="s">
        <v>1049</v>
      </c>
      <c r="K6" t="s">
        <v>1050</v>
      </c>
    </row>
    <row r="7" spans="3:11">
      <c r="C7" t="s">
        <v>167</v>
      </c>
      <c r="D7" s="219">
        <v>40393</v>
      </c>
      <c r="E7" s="218">
        <v>44666</v>
      </c>
      <c r="F7" s="218">
        <v>44666</v>
      </c>
      <c r="G7" s="218">
        <v>44937</v>
      </c>
      <c r="H7" s="218">
        <v>44666</v>
      </c>
      <c r="I7" t="s">
        <v>1049</v>
      </c>
      <c r="J7" t="s">
        <v>1051</v>
      </c>
      <c r="K7" t="s">
        <v>1050</v>
      </c>
    </row>
    <row r="8" spans="3:11">
      <c r="C8" t="s">
        <v>173</v>
      </c>
      <c r="D8" s="219">
        <v>42410</v>
      </c>
      <c r="E8" s="218">
        <v>44666</v>
      </c>
      <c r="F8" s="218">
        <v>44666</v>
      </c>
      <c r="G8" s="218">
        <v>44944</v>
      </c>
      <c r="H8" s="218">
        <v>44944</v>
      </c>
      <c r="I8" t="s">
        <v>1049</v>
      </c>
      <c r="J8" t="s">
        <v>1051</v>
      </c>
      <c r="K8" t="s">
        <v>1050</v>
      </c>
    </row>
    <row r="9" spans="3:11">
      <c r="C9" t="s">
        <v>150</v>
      </c>
      <c r="D9" s="219" t="s">
        <v>152</v>
      </c>
      <c r="E9" s="218">
        <v>44127</v>
      </c>
      <c r="I9" t="s">
        <v>1048</v>
      </c>
      <c r="K9" t="s">
        <v>157</v>
      </c>
    </row>
    <row r="11" spans="3:11">
      <c r="C11" t="s">
        <v>1052</v>
      </c>
      <c r="D11" s="219">
        <v>34585</v>
      </c>
      <c r="E11" s="218">
        <v>35431</v>
      </c>
      <c r="F11" s="218">
        <v>35431</v>
      </c>
      <c r="G11" s="218">
        <v>44547</v>
      </c>
      <c r="H11" s="218">
        <v>44547</v>
      </c>
      <c r="I11" t="s">
        <v>1048</v>
      </c>
      <c r="K11" t="s">
        <v>1053</v>
      </c>
    </row>
    <row r="12" spans="3:11">
      <c r="C12" t="s">
        <v>1054</v>
      </c>
      <c r="D12" s="219">
        <v>35150</v>
      </c>
      <c r="E12" s="218">
        <v>35157</v>
      </c>
      <c r="F12" s="218">
        <v>35157</v>
      </c>
      <c r="G12" s="218">
        <v>44662</v>
      </c>
      <c r="H12" s="218">
        <v>44662</v>
      </c>
      <c r="I12" t="s">
        <v>1048</v>
      </c>
      <c r="J12" t="s">
        <v>1051</v>
      </c>
      <c r="K12" t="s">
        <v>1055</v>
      </c>
    </row>
    <row r="13" spans="3:11">
      <c r="C13" t="s">
        <v>137</v>
      </c>
      <c r="D13" s="219">
        <v>40393</v>
      </c>
      <c r="E13" s="218">
        <v>44497</v>
      </c>
      <c r="F13" s="218">
        <v>44497</v>
      </c>
      <c r="G13" s="218">
        <v>44948</v>
      </c>
      <c r="H13" s="218">
        <v>44948</v>
      </c>
      <c r="I13" t="s">
        <v>1046</v>
      </c>
      <c r="J13" t="s">
        <v>1051</v>
      </c>
      <c r="K13" t="s">
        <v>1055</v>
      </c>
    </row>
    <row r="14" spans="3:11">
      <c r="C14" t="s">
        <v>117</v>
      </c>
      <c r="D14" s="219">
        <v>41115</v>
      </c>
      <c r="E14" s="218">
        <v>44658</v>
      </c>
      <c r="F14" s="218">
        <v>44658</v>
      </c>
      <c r="G14" s="218">
        <v>44948</v>
      </c>
      <c r="H14" s="218">
        <v>44948</v>
      </c>
      <c r="I14" t="s">
        <v>1048</v>
      </c>
      <c r="J14" t="s">
        <v>1051</v>
      </c>
      <c r="K14" t="s">
        <v>124</v>
      </c>
    </row>
    <row r="15" spans="3:11">
      <c r="C15" t="s">
        <v>1056</v>
      </c>
      <c r="D15" s="219">
        <v>41066</v>
      </c>
      <c r="E15" s="218">
        <v>41249</v>
      </c>
      <c r="F15" s="218">
        <v>43160</v>
      </c>
      <c r="G15" s="218">
        <v>44663</v>
      </c>
      <c r="H15" s="218">
        <v>44663</v>
      </c>
      <c r="I15" t="s">
        <v>19</v>
      </c>
      <c r="J15" t="s">
        <v>1057</v>
      </c>
    </row>
    <row r="16" spans="3:11" ht="15.75" customHeight="1">
      <c r="C16" t="s">
        <v>602</v>
      </c>
      <c r="D16" s="219">
        <v>41039</v>
      </c>
      <c r="E16" s="218">
        <v>44010</v>
      </c>
      <c r="F16" s="218">
        <v>44010</v>
      </c>
      <c r="G16" s="218">
        <v>44936</v>
      </c>
      <c r="H16" s="218">
        <v>44936</v>
      </c>
      <c r="I16" t="s">
        <v>19</v>
      </c>
      <c r="J16" t="s">
        <v>1051</v>
      </c>
    </row>
    <row r="17" spans="3:10">
      <c r="C17" t="s">
        <v>1058</v>
      </c>
      <c r="D17" s="219">
        <v>43595</v>
      </c>
      <c r="E17" s="218">
        <v>43595</v>
      </c>
      <c r="F17" s="218">
        <v>43595</v>
      </c>
      <c r="G17" s="218">
        <v>44609</v>
      </c>
      <c r="H17" s="218">
        <v>44609</v>
      </c>
      <c r="I17" t="s">
        <v>19</v>
      </c>
      <c r="J17" t="s">
        <v>1051</v>
      </c>
    </row>
    <row r="18" spans="3:10">
      <c r="C18" t="s">
        <v>1059</v>
      </c>
      <c r="D18" s="219">
        <v>43595</v>
      </c>
      <c r="E18" s="218">
        <v>43595</v>
      </c>
      <c r="F18" s="218">
        <v>43595</v>
      </c>
      <c r="G18" s="218">
        <v>44603</v>
      </c>
      <c r="H18" s="218">
        <v>44603</v>
      </c>
      <c r="I18" t="s">
        <v>19</v>
      </c>
      <c r="J18" t="s">
        <v>1051</v>
      </c>
    </row>
    <row r="19" spans="3:10">
      <c r="C19" t="s">
        <v>1060</v>
      </c>
      <c r="D19" s="219">
        <v>43595</v>
      </c>
      <c r="E19" s="218">
        <v>43595</v>
      </c>
      <c r="F19" s="218">
        <v>43596</v>
      </c>
      <c r="G19" s="218">
        <v>44602</v>
      </c>
      <c r="H19" s="218">
        <v>44602</v>
      </c>
      <c r="I19" t="s">
        <v>19</v>
      </c>
      <c r="J19" t="s">
        <v>1051</v>
      </c>
    </row>
    <row r="20" spans="3:10">
      <c r="C20" t="s">
        <v>1061</v>
      </c>
      <c r="D20" s="219">
        <v>43595</v>
      </c>
      <c r="E20" s="218">
        <v>43595</v>
      </c>
      <c r="F20" s="218">
        <v>43595</v>
      </c>
      <c r="G20" s="218">
        <v>44602</v>
      </c>
      <c r="H20" s="218">
        <v>44602</v>
      </c>
      <c r="I20" t="s">
        <v>19</v>
      </c>
      <c r="J20" t="s">
        <v>1051</v>
      </c>
    </row>
    <row r="22" spans="3:10" hidden="1" outlineLevel="1">
      <c r="C22" t="s">
        <v>1062</v>
      </c>
      <c r="E22" s="218">
        <v>36627</v>
      </c>
      <c r="F22" s="218">
        <v>36627</v>
      </c>
      <c r="G22" s="218">
        <v>40213</v>
      </c>
      <c r="H22" s="218">
        <v>40213</v>
      </c>
    </row>
    <row r="23" spans="3:10" hidden="1" outlineLevel="1">
      <c r="C23" t="s">
        <v>1063</v>
      </c>
      <c r="E23" s="218">
        <v>39773</v>
      </c>
      <c r="G23" s="218">
        <v>40711</v>
      </c>
    </row>
    <row r="24" spans="3:10" hidden="1" outlineLevel="1">
      <c r="C24" t="s">
        <v>1064</v>
      </c>
      <c r="E24" s="218">
        <v>40380</v>
      </c>
      <c r="F24" s="218">
        <v>40380</v>
      </c>
      <c r="G24" s="218">
        <v>40393</v>
      </c>
      <c r="H24" s="218">
        <v>40393</v>
      </c>
    </row>
    <row r="25" spans="3:10" hidden="1" outlineLevel="1">
      <c r="C25" t="s">
        <v>1065</v>
      </c>
      <c r="E25" s="218">
        <v>37429</v>
      </c>
      <c r="F25" s="218">
        <v>37429</v>
      </c>
      <c r="G25" s="218">
        <v>40443</v>
      </c>
      <c r="H25" s="218">
        <v>40395</v>
      </c>
    </row>
    <row r="26" spans="3:10" hidden="1" outlineLevel="1">
      <c r="C26" t="s">
        <v>1066</v>
      </c>
      <c r="E26" s="218">
        <v>39762</v>
      </c>
      <c r="F26" s="218">
        <v>39762</v>
      </c>
      <c r="G26" s="218">
        <v>40233</v>
      </c>
      <c r="H26" s="218">
        <v>40233</v>
      </c>
    </row>
    <row r="27" spans="3:10" hidden="1" outlineLevel="1">
      <c r="C27" t="s">
        <v>1067</v>
      </c>
      <c r="E27" s="218">
        <v>36705</v>
      </c>
      <c r="F27" s="218">
        <v>36705</v>
      </c>
      <c r="G27" s="218">
        <v>39393</v>
      </c>
      <c r="H27" s="218">
        <v>39393</v>
      </c>
    </row>
    <row r="28" spans="3:10" collapsed="1"/>
  </sheetData>
  <mergeCells count="2">
    <mergeCell ref="G1:H1"/>
    <mergeCell ref="E1:F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F787D-9EF5-47E7-BABC-AC8ACF705BDF}">
  <dimension ref="A2:B12"/>
  <sheetViews>
    <sheetView zoomScale="94" workbookViewId="0">
      <selection activeCell="B3" sqref="B3"/>
    </sheetView>
  </sheetViews>
  <sheetFormatPr defaultColWidth="8.69140625" defaultRowHeight="14.6"/>
  <cols>
    <col min="1" max="1" width="19.15234375" bestFit="1" customWidth="1"/>
    <col min="2" max="2" width="26.3046875" bestFit="1" customWidth="1"/>
  </cols>
  <sheetData>
    <row r="2" spans="1:2">
      <c r="A2" t="s">
        <v>1068</v>
      </c>
      <c r="B2" s="67">
        <v>38687</v>
      </c>
    </row>
    <row r="3" spans="1:2">
      <c r="A3" t="s">
        <v>3</v>
      </c>
      <c r="B3" s="67" t="s">
        <v>1069</v>
      </c>
    </row>
    <row r="4" spans="1:2">
      <c r="A4" t="s">
        <v>4</v>
      </c>
      <c r="B4" s="67" t="s">
        <v>1070</v>
      </c>
    </row>
    <row r="6" spans="1:2">
      <c r="A6" t="s">
        <v>7</v>
      </c>
      <c r="B6" s="69" t="s">
        <v>1071</v>
      </c>
    </row>
    <row r="7" spans="1:2">
      <c r="A7" t="s">
        <v>1072</v>
      </c>
      <c r="B7" s="68" t="s">
        <v>1073</v>
      </c>
    </row>
    <row r="9" spans="1:2">
      <c r="A9" t="s">
        <v>1074</v>
      </c>
      <c r="B9" t="s">
        <v>1075</v>
      </c>
    </row>
    <row r="11" spans="1:2">
      <c r="A11" t="s">
        <v>1076</v>
      </c>
      <c r="B11" s="69" t="s">
        <v>1077</v>
      </c>
    </row>
    <row r="12" spans="1:2">
      <c r="B12" t="s">
        <v>1078</v>
      </c>
    </row>
  </sheetData>
  <hyperlinks>
    <hyperlink ref="B6" r:id="rId1" xr:uid="{BE70D583-CCC0-4731-84E4-CD51B3AF48DB}"/>
    <hyperlink ref="B11" r:id="rId2" xr:uid="{6F44E47D-20D5-4B66-8F56-7D0E21793661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E686-54A9-4E9B-AE94-2192922AE4B4}">
  <dimension ref="B1:E6"/>
  <sheetViews>
    <sheetView workbookViewId="0">
      <selection activeCell="D4" sqref="D4"/>
    </sheetView>
  </sheetViews>
  <sheetFormatPr defaultColWidth="8.69140625" defaultRowHeight="14.6"/>
  <cols>
    <col min="2" max="2" width="48.3046875" customWidth="1"/>
    <col min="3" max="3" width="11.69140625" bestFit="1" customWidth="1"/>
    <col min="4" max="4" width="11.69140625" customWidth="1"/>
    <col min="5" max="5" width="14.69140625" bestFit="1" customWidth="1"/>
  </cols>
  <sheetData>
    <row r="1" spans="2:5">
      <c r="C1" t="s">
        <v>10</v>
      </c>
      <c r="D1" t="s">
        <v>8</v>
      </c>
      <c r="E1" t="s">
        <v>1079</v>
      </c>
    </row>
    <row r="2" spans="2:5">
      <c r="B2" s="121" t="s">
        <v>685</v>
      </c>
      <c r="C2" t="s">
        <v>1080</v>
      </c>
      <c r="D2" t="s">
        <v>1081</v>
      </c>
      <c r="E2" t="s">
        <v>1082</v>
      </c>
    </row>
    <row r="3" spans="2:5">
      <c r="B3" s="121" t="s">
        <v>1083</v>
      </c>
      <c r="C3" t="s">
        <v>1084</v>
      </c>
      <c r="D3" t="s">
        <v>1085</v>
      </c>
      <c r="E3" t="s">
        <v>1086</v>
      </c>
    </row>
    <row r="4" spans="2:5">
      <c r="B4" s="121" t="s">
        <v>1087</v>
      </c>
      <c r="D4" t="s">
        <v>1088</v>
      </c>
    </row>
    <row r="5" spans="2:5">
      <c r="B5" s="121" t="s">
        <v>1089</v>
      </c>
      <c r="C5" t="s">
        <v>1090</v>
      </c>
      <c r="E5" t="s">
        <v>1091</v>
      </c>
    </row>
    <row r="6" spans="2:5">
      <c r="B6" s="121" t="s">
        <v>1092</v>
      </c>
      <c r="C6" t="s">
        <v>1093</v>
      </c>
      <c r="E6" t="s">
        <v>1094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2E6A2-A8FC-452C-93E4-EE666257E769}">
  <dimension ref="A1:V50"/>
  <sheetViews>
    <sheetView zoomScale="120" zoomScaleNormal="120" workbookViewId="0">
      <pane ySplit="1" topLeftCell="A2" activePane="bottomLeft" state="frozen"/>
      <selection pane="bottomLeft" activeCell="I3" sqref="I3"/>
    </sheetView>
  </sheetViews>
  <sheetFormatPr defaultColWidth="9.15234375" defaultRowHeight="14.6"/>
  <cols>
    <col min="1" max="1" width="30.3046875" style="44" bestFit="1" customWidth="1"/>
    <col min="2" max="2" width="19.3046875" style="44" customWidth="1"/>
    <col min="3" max="3" width="57.3046875" style="14" bestFit="1" customWidth="1"/>
    <col min="4" max="4" width="23.15234375" style="44" bestFit="1" customWidth="1"/>
    <col min="5" max="5" width="23.15234375" style="28" customWidth="1"/>
    <col min="6" max="6" width="12" style="14" bestFit="1" customWidth="1"/>
    <col min="7" max="7" width="25.3046875" style="46" bestFit="1" customWidth="1"/>
    <col min="8" max="8" width="12.15234375" style="44" customWidth="1"/>
    <col min="9" max="9" width="12.3046875" style="14" bestFit="1" customWidth="1"/>
    <col min="10" max="10" width="14.69140625" style="44" bestFit="1" customWidth="1"/>
    <col min="11" max="11" width="11.69140625" style="44" bestFit="1" customWidth="1"/>
    <col min="12" max="12" width="18.3046875" style="47" bestFit="1" customWidth="1"/>
    <col min="13" max="13" width="30.69140625" style="14" customWidth="1"/>
    <col min="14" max="14" width="15.3046875" style="14" customWidth="1"/>
    <col min="15" max="15" width="14.15234375" style="48" bestFit="1" customWidth="1"/>
    <col min="16" max="16" width="17.69140625" style="28" bestFit="1" customWidth="1"/>
    <col min="17" max="17" width="19.15234375" style="44" bestFit="1" customWidth="1"/>
    <col min="18" max="18" width="30" style="14" bestFit="1" customWidth="1"/>
    <col min="19" max="19" width="55.15234375" style="49" bestFit="1" customWidth="1"/>
    <col min="20" max="20" width="51.69140625" style="14" customWidth="1"/>
    <col min="21" max="21" width="56.3046875" style="14" bestFit="1" customWidth="1"/>
    <col min="22" max="22" width="55" style="14" bestFit="1" customWidth="1"/>
    <col min="23" max="25" width="9.15234375" style="14"/>
    <col min="26" max="26" width="31.69140625" style="14" bestFit="1" customWidth="1"/>
    <col min="27" max="16384" width="9.15234375" style="14"/>
  </cols>
  <sheetData>
    <row r="1" spans="1:22" ht="14.8" customHeight="1">
      <c r="A1" s="50" t="s">
        <v>0</v>
      </c>
      <c r="B1" s="51"/>
      <c r="C1" s="51" t="s">
        <v>1</v>
      </c>
      <c r="D1" s="51" t="s">
        <v>2</v>
      </c>
      <c r="E1" s="52" t="s">
        <v>3</v>
      </c>
      <c r="F1" s="51" t="s">
        <v>4</v>
      </c>
      <c r="G1" s="53" t="s">
        <v>5</v>
      </c>
      <c r="H1" s="51" t="s">
        <v>6</v>
      </c>
      <c r="I1" s="51" t="s">
        <v>8</v>
      </c>
      <c r="J1" s="51" t="s">
        <v>9</v>
      </c>
      <c r="K1" s="51" t="s">
        <v>10</v>
      </c>
      <c r="L1" s="54" t="s">
        <v>11</v>
      </c>
      <c r="M1" s="51" t="s">
        <v>12</v>
      </c>
      <c r="N1" s="51" t="s">
        <v>1032</v>
      </c>
      <c r="O1" s="54" t="s">
        <v>13</v>
      </c>
      <c r="P1" s="52" t="s">
        <v>14</v>
      </c>
      <c r="Q1" s="51" t="s">
        <v>15</v>
      </c>
      <c r="R1" s="51" t="s">
        <v>16</v>
      </c>
      <c r="S1" s="51" t="s">
        <v>17</v>
      </c>
      <c r="T1" s="51" t="s">
        <v>18</v>
      </c>
      <c r="U1" s="51" t="s">
        <v>84</v>
      </c>
      <c r="V1" s="55" t="s">
        <v>85</v>
      </c>
    </row>
    <row r="2" spans="1:22">
      <c r="A2" s="15" t="s">
        <v>440</v>
      </c>
      <c r="B2" s="16" t="s">
        <v>20</v>
      </c>
      <c r="C2" s="118" t="s">
        <v>706</v>
      </c>
      <c r="D2" s="16">
        <v>94512428</v>
      </c>
      <c r="E2" s="221" t="s">
        <v>707</v>
      </c>
      <c r="F2" s="14" t="s">
        <v>708</v>
      </c>
      <c r="G2" s="46" t="s">
        <v>24</v>
      </c>
      <c r="H2" s="16" t="s">
        <v>709</v>
      </c>
      <c r="I2" s="16" t="s">
        <v>646</v>
      </c>
      <c r="J2" s="21" t="s">
        <v>647</v>
      </c>
      <c r="K2" s="16" t="s">
        <v>648</v>
      </c>
      <c r="L2" s="22" t="s">
        <v>111</v>
      </c>
      <c r="M2" s="20" t="s">
        <v>504</v>
      </c>
      <c r="N2" s="20" t="s">
        <v>1095</v>
      </c>
      <c r="O2" s="125">
        <v>45382</v>
      </c>
      <c r="P2" s="19">
        <v>0</v>
      </c>
      <c r="Q2" s="16" t="s">
        <v>1096</v>
      </c>
      <c r="R2" s="20" t="s">
        <v>1097</v>
      </c>
      <c r="S2" s="24" t="s">
        <v>1098</v>
      </c>
      <c r="T2" t="s">
        <v>115</v>
      </c>
      <c r="U2" s="20" t="s">
        <v>1099</v>
      </c>
      <c r="V2" s="25"/>
    </row>
    <row r="3" spans="1:22">
      <c r="A3" s="15" t="s">
        <v>440</v>
      </c>
      <c r="B3" s="16" t="s">
        <v>20</v>
      </c>
      <c r="C3" s="118" t="s">
        <v>710</v>
      </c>
      <c r="D3" s="16">
        <v>10135027</v>
      </c>
      <c r="E3" s="28" t="s">
        <v>711</v>
      </c>
      <c r="F3" s="14" t="s">
        <v>708</v>
      </c>
      <c r="G3" s="46" t="s">
        <v>24</v>
      </c>
      <c r="H3" s="16" t="s">
        <v>709</v>
      </c>
      <c r="I3" s="16" t="s">
        <v>540</v>
      </c>
      <c r="J3" s="32" t="s">
        <v>541</v>
      </c>
      <c r="K3" s="16" t="s">
        <v>542</v>
      </c>
      <c r="L3" s="22" t="s">
        <v>1100</v>
      </c>
      <c r="M3" s="20" t="s">
        <v>504</v>
      </c>
      <c r="N3" s="20" t="s">
        <v>1095</v>
      </c>
      <c r="O3" s="125">
        <v>45492</v>
      </c>
      <c r="P3" s="19">
        <v>0</v>
      </c>
      <c r="Q3" s="16">
        <v>100</v>
      </c>
      <c r="R3" s="20" t="s">
        <v>440</v>
      </c>
      <c r="S3" s="24" t="s">
        <v>1098</v>
      </c>
      <c r="T3" s="24" t="s">
        <v>115</v>
      </c>
      <c r="U3" s="20" t="s">
        <v>1101</v>
      </c>
      <c r="V3" s="25"/>
    </row>
    <row r="4" spans="1:22" ht="15" thickBot="1">
      <c r="A4" s="56" t="s">
        <v>440</v>
      </c>
      <c r="B4" s="57" t="s">
        <v>20</v>
      </c>
      <c r="C4" s="119" t="s">
        <v>712</v>
      </c>
      <c r="D4" s="93">
        <v>56845790</v>
      </c>
      <c r="E4" s="221" t="s">
        <v>713</v>
      </c>
      <c r="F4" s="14" t="s">
        <v>708</v>
      </c>
      <c r="G4" s="46" t="s">
        <v>24</v>
      </c>
      <c r="H4" s="16" t="s">
        <v>709</v>
      </c>
      <c r="I4" s="57" t="s">
        <v>500</v>
      </c>
      <c r="J4" s="60" t="s">
        <v>501</v>
      </c>
      <c r="K4" s="57" t="s">
        <v>502</v>
      </c>
      <c r="L4" s="61" t="s">
        <v>111</v>
      </c>
      <c r="M4" s="58" t="s">
        <v>504</v>
      </c>
      <c r="N4" s="58" t="s">
        <v>1095</v>
      </c>
      <c r="O4" s="126">
        <v>45382</v>
      </c>
      <c r="P4" s="59">
        <v>0</v>
      </c>
      <c r="Q4" s="57">
        <v>100</v>
      </c>
      <c r="R4" s="58" t="s">
        <v>440</v>
      </c>
      <c r="S4" s="62" t="s">
        <v>1098</v>
      </c>
      <c r="T4" s="24" t="s">
        <v>115</v>
      </c>
      <c r="U4" s="58" t="s">
        <v>1102</v>
      </c>
      <c r="V4" s="63"/>
    </row>
    <row r="5" spans="1:22" ht="15" thickBot="1">
      <c r="A5" s="56" t="s">
        <v>440</v>
      </c>
      <c r="B5" s="57" t="s">
        <v>20</v>
      </c>
      <c r="C5" s="119" t="s">
        <v>714</v>
      </c>
      <c r="D5" s="57">
        <v>42468380</v>
      </c>
      <c r="E5" s="221" t="s">
        <v>707</v>
      </c>
      <c r="F5" s="14" t="s">
        <v>708</v>
      </c>
      <c r="G5" s="46" t="s">
        <v>24</v>
      </c>
      <c r="H5" s="16" t="s">
        <v>709</v>
      </c>
      <c r="I5" s="57" t="s">
        <v>615</v>
      </c>
      <c r="J5" s="60" t="s">
        <v>616</v>
      </c>
      <c r="K5" s="57" t="s">
        <v>617</v>
      </c>
      <c r="L5" s="61">
        <v>45264</v>
      </c>
      <c r="M5" s="14" t="s">
        <v>504</v>
      </c>
      <c r="N5" s="14" t="s">
        <v>1095</v>
      </c>
      <c r="O5" s="48">
        <v>45630</v>
      </c>
      <c r="S5" s="49" t="s">
        <v>1098</v>
      </c>
      <c r="T5" s="14" t="s">
        <v>115</v>
      </c>
    </row>
    <row r="6" spans="1:22">
      <c r="C6" s="14" t="s">
        <v>1103</v>
      </c>
      <c r="D6" s="44">
        <v>27845006</v>
      </c>
    </row>
    <row r="7" spans="1:22">
      <c r="K7" s="139"/>
    </row>
    <row r="9" spans="1:22">
      <c r="I9" s="14" t="s">
        <v>1104</v>
      </c>
      <c r="K9" s="44">
        <v>15344273</v>
      </c>
    </row>
    <row r="10" spans="1:22">
      <c r="C10" s="14" t="s">
        <v>1105</v>
      </c>
    </row>
    <row r="12" spans="1:22">
      <c r="C12" s="14" t="s">
        <v>1106</v>
      </c>
      <c r="D12" s="44">
        <v>145</v>
      </c>
      <c r="E12" s="229">
        <f>D12/$D$16</f>
        <v>0.72499999999999998</v>
      </c>
      <c r="O12" s="123"/>
    </row>
    <row r="13" spans="1:22">
      <c r="C13" s="14" t="s">
        <v>1083</v>
      </c>
      <c r="D13" s="44">
        <v>35</v>
      </c>
      <c r="E13" s="229">
        <f t="shared" ref="E13:E15" si="0">D13/$D$16</f>
        <v>0.17499999999999999</v>
      </c>
      <c r="O13" s="123"/>
    </row>
    <row r="14" spans="1:22">
      <c r="C14" s="14" t="s">
        <v>1107</v>
      </c>
      <c r="D14" s="44">
        <v>10</v>
      </c>
      <c r="E14" s="229">
        <f t="shared" si="0"/>
        <v>0.05</v>
      </c>
      <c r="J14" s="44">
        <v>6500</v>
      </c>
      <c r="K14" s="44">
        <v>4</v>
      </c>
      <c r="L14" s="231">
        <f>J14/K14</f>
        <v>1625</v>
      </c>
      <c r="O14" s="123"/>
    </row>
    <row r="15" spans="1:22">
      <c r="C15" s="14" t="s">
        <v>1108</v>
      </c>
      <c r="D15" s="44">
        <v>10</v>
      </c>
      <c r="E15" s="229">
        <f t="shared" si="0"/>
        <v>0.05</v>
      </c>
      <c r="J15" s="44">
        <v>1800</v>
      </c>
      <c r="O15" s="123"/>
    </row>
    <row r="16" spans="1:22">
      <c r="D16" s="44">
        <f>SUM(D12:D15)</f>
        <v>200</v>
      </c>
      <c r="E16" s="225"/>
      <c r="J16" s="44">
        <f>J14/J15</f>
        <v>3.6111111111111112</v>
      </c>
      <c r="O16" s="123"/>
    </row>
    <row r="17" spans="6:17">
      <c r="L17" s="222"/>
      <c r="O17" s="123"/>
    </row>
    <row r="18" spans="6:17">
      <c r="L18" s="222"/>
      <c r="O18" s="123"/>
    </row>
    <row r="19" spans="6:17">
      <c r="L19" s="222"/>
      <c r="O19" s="123"/>
    </row>
    <row r="20" spans="6:17">
      <c r="L20" s="222"/>
      <c r="O20" s="123"/>
    </row>
    <row r="21" spans="6:17">
      <c r="L21" s="222"/>
      <c r="O21" s="123"/>
    </row>
    <row r="22" spans="6:17">
      <c r="L22" s="222"/>
      <c r="O22" s="123"/>
    </row>
    <row r="23" spans="6:17">
      <c r="L23" s="222"/>
      <c r="O23" s="123"/>
    </row>
    <row r="24" spans="6:17">
      <c r="F24" s="230"/>
      <c r="L24" s="222"/>
      <c r="O24" s="123"/>
    </row>
    <row r="25" spans="6:17">
      <c r="F25" s="230"/>
      <c r="L25" s="222"/>
      <c r="O25" s="123"/>
    </row>
    <row r="26" spans="6:17">
      <c r="F26" s="230"/>
      <c r="L26" s="223"/>
      <c r="M26" s="224" t="e">
        <f>L26/L25</f>
        <v>#DIV/0!</v>
      </c>
      <c r="N26" s="224"/>
      <c r="O26" s="123"/>
    </row>
    <row r="27" spans="6:17">
      <c r="O27" s="123"/>
    </row>
    <row r="28" spans="6:17">
      <c r="O28" s="123"/>
      <c r="Q28" s="124"/>
    </row>
    <row r="29" spans="6:17">
      <c r="O29" s="123"/>
    </row>
    <row r="30" spans="6:17">
      <c r="O30" s="123"/>
    </row>
    <row r="31" spans="6:17">
      <c r="O31" s="123"/>
    </row>
    <row r="32" spans="6:17">
      <c r="O32" s="123"/>
    </row>
    <row r="33" spans="15:15">
      <c r="O33" s="123"/>
    </row>
    <row r="34" spans="15:15">
      <c r="O34" s="123"/>
    </row>
    <row r="35" spans="15:15">
      <c r="O35" s="123"/>
    </row>
    <row r="36" spans="15:15">
      <c r="O36" s="123"/>
    </row>
    <row r="37" spans="15:15">
      <c r="O37" s="123"/>
    </row>
    <row r="38" spans="15:15">
      <c r="O38" s="123"/>
    </row>
    <row r="39" spans="15:15">
      <c r="O39" s="123"/>
    </row>
    <row r="40" spans="15:15">
      <c r="O40" s="123"/>
    </row>
    <row r="41" spans="15:15">
      <c r="O41" s="123"/>
    </row>
    <row r="42" spans="15:15">
      <c r="O42" s="123"/>
    </row>
    <row r="43" spans="15:15">
      <c r="O43" s="123"/>
    </row>
    <row r="44" spans="15:15">
      <c r="O44" s="123"/>
    </row>
    <row r="45" spans="15:15">
      <c r="O45" s="123"/>
    </row>
    <row r="46" spans="15:15">
      <c r="O46" s="123"/>
    </row>
    <row r="47" spans="15:15">
      <c r="O47" s="123"/>
    </row>
    <row r="48" spans="15:15">
      <c r="O48" s="123"/>
    </row>
    <row r="49" spans="15:15">
      <c r="O49" s="123"/>
    </row>
    <row r="50" spans="15:15">
      <c r="O50" s="123"/>
    </row>
  </sheetData>
  <autoFilter ref="A1:V1" xr:uid="{E206B009-E6DB-46FA-ADA1-82F432ABF6C1}">
    <sortState xmlns:xlrd2="http://schemas.microsoft.com/office/spreadsheetml/2017/richdata2" ref="A2:V4">
      <sortCondition ref="A1"/>
    </sortState>
  </autoFilter>
  <phoneticPr fontId="13" type="noConversion"/>
  <hyperlinks>
    <hyperlink ref="J3" r:id="rId1" xr:uid="{8B8CAB90-3D8F-4603-9FC4-6BC4BD15981A}"/>
    <hyperlink ref="J2" r:id="rId2" xr:uid="{AEE35754-4FF3-490C-ABFA-C4D51D1946F2}"/>
    <hyperlink ref="J4" r:id="rId3" xr:uid="{8EC1B068-C9FA-48A7-973A-4F0971F8332D}"/>
    <hyperlink ref="E4" r:id="rId4" xr:uid="{14A73F12-BBEC-4188-A40B-78EDC1F735B5}"/>
    <hyperlink ref="E2" r:id="rId5" xr:uid="{B1D09226-916C-406B-BA9E-3BF40990A910}"/>
    <hyperlink ref="E5" r:id="rId6" xr:uid="{7B06382E-D801-4F4E-800E-01D3D3FD9772}"/>
  </hyperlinks>
  <pageMargins left="0.7" right="0.7" top="0.75" bottom="0.75" header="0.3" footer="0.3"/>
  <pageSetup paperSize="9" orientation="portrait" r:id="rId7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359EF-DF3A-4DD4-BE37-B7999E03CF61}">
  <dimension ref="A1:AB33"/>
  <sheetViews>
    <sheetView zoomScale="120" zoomScaleNormal="120" workbookViewId="0">
      <pane xSplit="3" ySplit="1" topLeftCell="D2" activePane="bottomRight" state="frozen"/>
      <selection pane="topRight"/>
      <selection pane="bottomLeft"/>
      <selection pane="bottomRight" activeCell="O2" sqref="O2"/>
    </sheetView>
  </sheetViews>
  <sheetFormatPr defaultColWidth="9.15234375" defaultRowHeight="14.6"/>
  <cols>
    <col min="1" max="1" width="20.15234375" style="44" customWidth="1"/>
    <col min="2" max="2" width="9.69140625" style="44" customWidth="1"/>
    <col min="3" max="3" width="43.3046875" style="14" bestFit="1" customWidth="1"/>
    <col min="4" max="4" width="14" style="44" bestFit="1" customWidth="1"/>
    <col min="5" max="5" width="22.69140625" style="44" customWidth="1"/>
    <col min="6" max="6" width="9.69140625" style="44" bestFit="1" customWidth="1"/>
    <col min="7" max="7" width="23.15234375" style="44" bestFit="1" customWidth="1"/>
    <col min="8" max="8" width="8.69140625" style="44" bestFit="1" customWidth="1"/>
    <col min="9" max="9" width="20.69140625" style="45" bestFit="1" customWidth="1"/>
    <col min="10" max="10" width="17.3046875" style="28" bestFit="1" customWidth="1"/>
    <col min="11" max="11" width="30" style="14" bestFit="1" customWidth="1"/>
    <col min="12" max="12" width="11.69140625" style="46" bestFit="1" customWidth="1"/>
    <col min="13" max="13" width="10.69140625" style="44" bestFit="1" customWidth="1"/>
    <col min="14" max="14" width="11.69140625" style="14" bestFit="1" customWidth="1"/>
    <col min="15" max="15" width="14.69140625" style="44" bestFit="1" customWidth="1"/>
    <col min="16" max="16" width="11.69140625" style="44" bestFit="1" customWidth="1"/>
    <col min="17" max="17" width="13.3046875" style="44" bestFit="1" customWidth="1"/>
    <col min="18" max="18" width="11.69140625" style="44" customWidth="1"/>
    <col min="19" max="19" width="18.3046875" style="48" bestFit="1" customWidth="1"/>
    <col min="20" max="20" width="23.3046875" style="14" bestFit="1" customWidth="1"/>
    <col min="21" max="21" width="14.15234375" style="48" bestFit="1" customWidth="1"/>
    <col min="22" max="22" width="17.69140625" style="28" bestFit="1" customWidth="1"/>
    <col min="23" max="23" width="19.15234375" style="44" bestFit="1" customWidth="1"/>
    <col min="24" max="24" width="30" style="14" bestFit="1" customWidth="1"/>
    <col min="25" max="25" width="55.15234375" style="49" bestFit="1" customWidth="1"/>
    <col min="26" max="26" width="42.3046875" style="14" bestFit="1" customWidth="1"/>
    <col min="27" max="27" width="56.3046875" style="14" bestFit="1" customWidth="1"/>
    <col min="28" max="28" width="55" style="14" bestFit="1" customWidth="1"/>
    <col min="29" max="31" width="9.15234375" style="14"/>
    <col min="32" max="32" width="31.69140625" style="14" bestFit="1" customWidth="1"/>
    <col min="33" max="16384" width="9.15234375" style="14"/>
  </cols>
  <sheetData>
    <row r="1" spans="1:28" ht="14.8" customHeight="1">
      <c r="A1" s="1" t="s">
        <v>0</v>
      </c>
      <c r="B1" s="2"/>
      <c r="C1" s="3" t="s">
        <v>1</v>
      </c>
      <c r="D1" s="71" t="s">
        <v>2</v>
      </c>
      <c r="E1" s="71" t="s">
        <v>3</v>
      </c>
      <c r="F1" s="71" t="s">
        <v>4</v>
      </c>
      <c r="G1" s="71" t="s">
        <v>5</v>
      </c>
      <c r="H1" s="71" t="s">
        <v>6</v>
      </c>
      <c r="I1" s="4" t="s">
        <v>79</v>
      </c>
      <c r="J1" s="5" t="s">
        <v>80</v>
      </c>
      <c r="K1" s="6" t="s">
        <v>81</v>
      </c>
      <c r="L1" s="7" t="s">
        <v>82</v>
      </c>
      <c r="M1" s="6" t="s">
        <v>83</v>
      </c>
      <c r="N1" s="8" t="s">
        <v>8</v>
      </c>
      <c r="O1" s="1" t="s">
        <v>9</v>
      </c>
      <c r="P1" s="2" t="s">
        <v>10</v>
      </c>
      <c r="Q1" s="6" t="s">
        <v>1109</v>
      </c>
      <c r="R1" s="6" t="s">
        <v>1110</v>
      </c>
      <c r="S1" s="131" t="s">
        <v>11</v>
      </c>
      <c r="T1" s="10" t="s">
        <v>12</v>
      </c>
      <c r="U1" s="11" t="s">
        <v>13</v>
      </c>
      <c r="V1" s="5" t="s">
        <v>14</v>
      </c>
      <c r="W1" s="6" t="s">
        <v>15</v>
      </c>
      <c r="X1" s="6" t="s">
        <v>16</v>
      </c>
      <c r="Y1" s="1" t="s">
        <v>17</v>
      </c>
      <c r="Z1" s="12" t="s">
        <v>18</v>
      </c>
      <c r="AA1" s="6" t="s">
        <v>84</v>
      </c>
      <c r="AB1" s="13" t="s">
        <v>85</v>
      </c>
    </row>
    <row r="2" spans="1:28" ht="29.15">
      <c r="A2" s="15" t="s">
        <v>106</v>
      </c>
      <c r="B2" s="16" t="s">
        <v>1111</v>
      </c>
      <c r="C2" s="118" t="s">
        <v>107</v>
      </c>
      <c r="D2" s="16">
        <v>8860820</v>
      </c>
      <c r="E2" s="16" t="s">
        <v>711</v>
      </c>
      <c r="F2" s="16" t="s">
        <v>708</v>
      </c>
      <c r="G2" s="26" t="s">
        <v>24</v>
      </c>
      <c r="H2" s="16" t="s">
        <v>709</v>
      </c>
      <c r="I2" s="18"/>
      <c r="K2" s="14" t="s">
        <v>107</v>
      </c>
      <c r="L2" s="26" t="s">
        <v>125</v>
      </c>
      <c r="M2" s="16">
        <v>767243550</v>
      </c>
      <c r="N2" s="16" t="s">
        <v>108</v>
      </c>
      <c r="O2" s="21" t="s">
        <v>109</v>
      </c>
      <c r="P2" s="16" t="s">
        <v>110</v>
      </c>
      <c r="Q2" s="16" t="s">
        <v>17</v>
      </c>
      <c r="R2" s="16"/>
      <c r="S2" s="23" t="s">
        <v>111</v>
      </c>
      <c r="T2" s="20" t="s">
        <v>228</v>
      </c>
      <c r="U2" s="23" t="s">
        <v>113</v>
      </c>
      <c r="V2" s="19">
        <v>0</v>
      </c>
      <c r="W2" s="16">
        <v>100</v>
      </c>
      <c r="X2" s="20" t="s">
        <v>114</v>
      </c>
      <c r="Y2" s="24" t="s">
        <v>219</v>
      </c>
      <c r="Z2" s="24" t="s">
        <v>115</v>
      </c>
      <c r="AA2" s="20" t="s">
        <v>116</v>
      </c>
      <c r="AB2" s="25"/>
    </row>
    <row r="3" spans="1:28" ht="29.15">
      <c r="A3" s="15" t="s">
        <v>106</v>
      </c>
      <c r="B3" s="16"/>
      <c r="C3" s="118" t="s">
        <v>129</v>
      </c>
      <c r="D3" s="93">
        <v>32350239</v>
      </c>
      <c r="E3" s="16" t="s">
        <v>711</v>
      </c>
      <c r="F3" s="16" t="s">
        <v>708</v>
      </c>
      <c r="G3" s="26" t="s">
        <v>24</v>
      </c>
      <c r="H3" s="16" t="s">
        <v>709</v>
      </c>
      <c r="I3" s="18"/>
      <c r="J3" s="19"/>
      <c r="L3" s="26"/>
      <c r="M3" s="16"/>
      <c r="N3" s="16" t="s">
        <v>130</v>
      </c>
      <c r="O3" s="21" t="s">
        <v>131</v>
      </c>
      <c r="P3" s="16" t="s">
        <v>132</v>
      </c>
      <c r="Q3" s="16"/>
      <c r="R3" s="16"/>
      <c r="S3" s="23">
        <v>44716</v>
      </c>
      <c r="T3" s="20" t="s">
        <v>65</v>
      </c>
      <c r="U3" s="23">
        <v>45081</v>
      </c>
      <c r="V3" s="19">
        <v>0</v>
      </c>
      <c r="W3" s="16">
        <v>100</v>
      </c>
      <c r="X3" s="20" t="s">
        <v>65</v>
      </c>
      <c r="Y3" s="24" t="s">
        <v>219</v>
      </c>
      <c r="Z3" s="24" t="s">
        <v>115</v>
      </c>
      <c r="AA3" s="20"/>
      <c r="AB3" s="25"/>
    </row>
    <row r="4" spans="1:28">
      <c r="A4" s="15" t="s">
        <v>106</v>
      </c>
      <c r="B4" s="16" t="s">
        <v>86</v>
      </c>
      <c r="C4" s="118" t="s">
        <v>133</v>
      </c>
      <c r="D4" s="16"/>
      <c r="E4" s="16"/>
      <c r="F4" s="16" t="s">
        <v>708</v>
      </c>
      <c r="G4" s="26" t="s">
        <v>24</v>
      </c>
      <c r="H4" s="16" t="s">
        <v>709</v>
      </c>
      <c r="I4" s="18"/>
      <c r="K4" s="30" t="s">
        <v>134</v>
      </c>
      <c r="L4" s="26" t="s">
        <v>125</v>
      </c>
      <c r="M4" s="16">
        <v>959276787</v>
      </c>
      <c r="N4" s="16"/>
      <c r="O4" s="21" t="s">
        <v>135</v>
      </c>
      <c r="P4" s="16" t="s">
        <v>136</v>
      </c>
      <c r="Q4" s="16" t="s">
        <v>17</v>
      </c>
      <c r="R4" s="16" t="s">
        <v>1112</v>
      </c>
      <c r="S4" s="23"/>
      <c r="T4" s="20"/>
      <c r="U4" s="23"/>
      <c r="V4" s="19"/>
      <c r="W4" s="16"/>
      <c r="X4" s="20"/>
      <c r="Y4" s="27"/>
      <c r="Z4" s="20"/>
      <c r="AA4" s="20" t="s">
        <v>128</v>
      </c>
      <c r="AB4" s="25"/>
    </row>
    <row r="5" spans="1:28">
      <c r="A5" s="15" t="s">
        <v>106</v>
      </c>
      <c r="B5" s="16"/>
      <c r="C5" s="20" t="s">
        <v>92</v>
      </c>
      <c r="D5" s="16"/>
      <c r="E5" s="16"/>
      <c r="F5" s="16"/>
      <c r="G5" s="16"/>
      <c r="H5" s="16"/>
      <c r="I5" s="18"/>
      <c r="J5" s="19"/>
      <c r="K5" s="20"/>
      <c r="L5" s="26"/>
      <c r="M5" s="16"/>
      <c r="N5" s="20"/>
      <c r="O5" s="21" t="s">
        <v>143</v>
      </c>
      <c r="P5" s="33" t="s">
        <v>144</v>
      </c>
      <c r="Q5" s="33"/>
      <c r="R5" s="33"/>
      <c r="S5" s="23"/>
      <c r="T5" s="20"/>
      <c r="U5" s="23"/>
      <c r="V5" s="19"/>
      <c r="W5" s="16"/>
      <c r="X5" s="20"/>
      <c r="Y5" s="27"/>
      <c r="Z5" s="20"/>
      <c r="AA5" s="20"/>
      <c r="AB5" s="25"/>
    </row>
    <row r="6" spans="1:28">
      <c r="A6" s="15" t="s">
        <v>106</v>
      </c>
      <c r="B6" s="16"/>
      <c r="C6" s="20" t="s">
        <v>65</v>
      </c>
      <c r="D6" s="16"/>
      <c r="E6" s="16"/>
      <c r="F6" s="16"/>
      <c r="G6" s="16"/>
      <c r="H6" s="16"/>
      <c r="I6" s="18"/>
      <c r="J6" s="19"/>
      <c r="K6" s="20"/>
      <c r="L6" s="26"/>
      <c r="M6" s="16"/>
      <c r="N6" s="20"/>
      <c r="O6" s="16"/>
      <c r="P6" s="33" t="s">
        <v>145</v>
      </c>
      <c r="Q6" s="33"/>
      <c r="R6" s="33"/>
      <c r="S6" s="23"/>
      <c r="T6" s="20"/>
      <c r="U6" s="23"/>
      <c r="V6" s="19"/>
      <c r="W6" s="16"/>
      <c r="X6" s="20"/>
      <c r="Y6" s="27"/>
      <c r="Z6" s="20"/>
      <c r="AA6" s="20"/>
      <c r="AB6" s="25"/>
    </row>
    <row r="7" spans="1:28">
      <c r="A7" s="15" t="s">
        <v>106</v>
      </c>
      <c r="B7" s="16"/>
      <c r="C7" s="20" t="s">
        <v>146</v>
      </c>
      <c r="D7" s="16"/>
      <c r="E7" s="16"/>
      <c r="F7" s="16"/>
      <c r="G7" s="16"/>
      <c r="H7" s="16"/>
      <c r="I7" s="18"/>
      <c r="J7" s="19"/>
      <c r="K7" s="20"/>
      <c r="L7" s="26"/>
      <c r="M7" s="16"/>
      <c r="N7" s="20"/>
      <c r="O7" s="16"/>
      <c r="P7" s="16" t="s">
        <v>718</v>
      </c>
      <c r="Q7" s="16"/>
      <c r="R7" s="16"/>
      <c r="S7" s="23"/>
      <c r="T7" s="20"/>
      <c r="U7" s="23"/>
      <c r="V7" s="19"/>
      <c r="W7" s="16"/>
      <c r="X7" s="20"/>
      <c r="Y7" s="27"/>
      <c r="Z7" s="20"/>
      <c r="AA7" s="20"/>
      <c r="AB7" s="25"/>
    </row>
    <row r="8" spans="1:28" ht="13.5" customHeight="1">
      <c r="A8" s="15" t="s">
        <v>106</v>
      </c>
      <c r="B8" s="16"/>
      <c r="C8" s="20" t="s">
        <v>147</v>
      </c>
      <c r="D8" s="16"/>
      <c r="E8" s="16"/>
      <c r="F8" s="16"/>
      <c r="G8" s="16"/>
      <c r="H8" s="16"/>
      <c r="I8" s="18"/>
      <c r="J8" s="19"/>
      <c r="K8" s="20"/>
      <c r="L8" s="26"/>
      <c r="M8" s="16"/>
      <c r="N8" s="20"/>
      <c r="O8" s="16"/>
      <c r="P8" s="16" t="s">
        <v>719</v>
      </c>
      <c r="Q8" s="16"/>
      <c r="R8" s="16"/>
      <c r="S8" s="23"/>
      <c r="T8" s="20"/>
      <c r="U8" s="23"/>
      <c r="V8" s="19"/>
      <c r="W8" s="16"/>
      <c r="X8" s="20"/>
      <c r="Y8" s="27"/>
      <c r="Z8" s="20"/>
      <c r="AA8" s="20"/>
      <c r="AB8" s="25"/>
    </row>
    <row r="9" spans="1:28">
      <c r="A9" s="15" t="s">
        <v>106</v>
      </c>
      <c r="B9" s="16"/>
      <c r="C9" s="20" t="s">
        <v>148</v>
      </c>
      <c r="D9" s="16"/>
      <c r="E9" s="16"/>
      <c r="F9" s="16"/>
      <c r="G9" s="16"/>
      <c r="H9" s="16"/>
      <c r="I9" s="18"/>
      <c r="J9" s="19"/>
      <c r="K9" s="20"/>
      <c r="L9" s="26"/>
      <c r="M9" s="16"/>
      <c r="N9" s="20"/>
      <c r="O9" s="16"/>
      <c r="P9" s="16" t="s">
        <v>720</v>
      </c>
      <c r="Q9" s="16"/>
      <c r="R9" s="16"/>
      <c r="S9" s="23"/>
      <c r="T9" s="20"/>
      <c r="U9" s="23"/>
      <c r="V9" s="19"/>
      <c r="W9" s="16"/>
      <c r="X9" s="20"/>
      <c r="Y9" s="24"/>
      <c r="Z9" s="20"/>
      <c r="AA9" s="20"/>
      <c r="AB9" s="25"/>
    </row>
    <row r="10" spans="1:28" ht="14.8" customHeight="1">
      <c r="A10" s="15" t="s">
        <v>149</v>
      </c>
      <c r="B10" s="16" t="s">
        <v>155</v>
      </c>
      <c r="C10" s="118" t="s">
        <v>150</v>
      </c>
      <c r="D10" s="93">
        <v>16724280</v>
      </c>
      <c r="E10" s="16" t="s">
        <v>711</v>
      </c>
      <c r="F10" s="16" t="s">
        <v>708</v>
      </c>
      <c r="G10" s="26" t="s">
        <v>24</v>
      </c>
      <c r="H10" s="16" t="s">
        <v>709</v>
      </c>
      <c r="I10" s="18"/>
      <c r="J10" s="19"/>
      <c r="K10" s="20"/>
      <c r="L10" s="26"/>
      <c r="M10" s="16"/>
      <c r="N10" s="16" t="s">
        <v>151</v>
      </c>
      <c r="O10" s="16"/>
      <c r="P10" s="16"/>
      <c r="Q10" s="16"/>
      <c r="R10" s="16"/>
      <c r="S10" s="23" t="s">
        <v>152</v>
      </c>
      <c r="T10" s="20" t="s">
        <v>228</v>
      </c>
      <c r="U10" s="23">
        <v>45222</v>
      </c>
      <c r="V10" s="19">
        <v>620</v>
      </c>
      <c r="W10" s="16">
        <v>100</v>
      </c>
      <c r="X10" s="20" t="s">
        <v>154</v>
      </c>
      <c r="Y10" s="24" t="s">
        <v>219</v>
      </c>
      <c r="Z10" s="24" t="s">
        <v>32</v>
      </c>
      <c r="AA10" s="20"/>
      <c r="AB10" s="25"/>
    </row>
    <row r="11" spans="1:28">
      <c r="A11" s="34" t="s">
        <v>149</v>
      </c>
      <c r="B11" s="35" t="s">
        <v>155</v>
      </c>
      <c r="C11" s="120" t="s">
        <v>156</v>
      </c>
      <c r="D11" s="93"/>
      <c r="E11" s="35" t="s">
        <v>711</v>
      </c>
      <c r="F11" s="35" t="s">
        <v>708</v>
      </c>
      <c r="G11" s="26" t="s">
        <v>24</v>
      </c>
      <c r="H11" s="16" t="s">
        <v>709</v>
      </c>
      <c r="I11" s="37"/>
      <c r="J11" s="38"/>
      <c r="K11" s="36" t="s">
        <v>157</v>
      </c>
      <c r="L11" s="39" t="s">
        <v>158</v>
      </c>
      <c r="M11" s="35">
        <v>304656703</v>
      </c>
      <c r="N11" s="35"/>
      <c r="O11" s="40" t="s">
        <v>159</v>
      </c>
      <c r="P11" s="35" t="s">
        <v>160</v>
      </c>
      <c r="Q11" s="35"/>
      <c r="R11" s="35"/>
      <c r="S11" s="41"/>
      <c r="T11" s="36"/>
      <c r="U11" s="41"/>
      <c r="V11" s="38"/>
      <c r="W11" s="35"/>
      <c r="X11" s="36"/>
      <c r="Y11" s="42"/>
      <c r="Z11" s="36"/>
      <c r="AA11" s="36"/>
      <c r="AB11" s="43"/>
    </row>
    <row r="12" spans="1:28" ht="14.8" customHeight="1">
      <c r="A12" s="16" t="s">
        <v>149</v>
      </c>
      <c r="B12" s="16" t="s">
        <v>86</v>
      </c>
      <c r="C12" s="118" t="s">
        <v>161</v>
      </c>
      <c r="D12" s="93">
        <v>24400857</v>
      </c>
      <c r="E12" s="16" t="s">
        <v>711</v>
      </c>
      <c r="F12" s="16" t="s">
        <v>708</v>
      </c>
      <c r="G12" s="26" t="s">
        <v>24</v>
      </c>
      <c r="H12" s="16" t="s">
        <v>709</v>
      </c>
      <c r="I12" s="18"/>
      <c r="J12" s="19"/>
      <c r="K12" s="20" t="s">
        <v>161</v>
      </c>
      <c r="L12" s="26" t="s">
        <v>125</v>
      </c>
      <c r="M12" s="16">
        <v>259449309</v>
      </c>
      <c r="N12" s="16" t="s">
        <v>162</v>
      </c>
      <c r="O12" s="21" t="s">
        <v>163</v>
      </c>
      <c r="P12" s="16" t="s">
        <v>164</v>
      </c>
      <c r="Q12" s="16" t="s">
        <v>1113</v>
      </c>
      <c r="R12" s="16"/>
      <c r="S12" s="23">
        <v>44662</v>
      </c>
      <c r="T12" s="20" t="s">
        <v>65</v>
      </c>
      <c r="U12" s="23">
        <v>45027</v>
      </c>
      <c r="V12" s="19">
        <v>0</v>
      </c>
      <c r="W12" s="16">
        <v>100</v>
      </c>
      <c r="X12" s="20" t="s">
        <v>165</v>
      </c>
      <c r="Y12" s="24" t="s">
        <v>219</v>
      </c>
      <c r="Z12" s="24" t="s">
        <v>115</v>
      </c>
      <c r="AA12" s="20" t="s">
        <v>166</v>
      </c>
      <c r="AB12" s="20"/>
    </row>
    <row r="13" spans="1:28" ht="14.8" customHeight="1">
      <c r="A13" s="16" t="s">
        <v>149</v>
      </c>
      <c r="B13" s="16" t="s">
        <v>86</v>
      </c>
      <c r="C13" s="118" t="s">
        <v>178</v>
      </c>
      <c r="D13" s="117" t="s">
        <v>179</v>
      </c>
      <c r="E13" s="116" t="s">
        <v>180</v>
      </c>
      <c r="F13" s="16" t="s">
        <v>708</v>
      </c>
      <c r="G13" s="26" t="s">
        <v>24</v>
      </c>
      <c r="H13" s="16" t="s">
        <v>25</v>
      </c>
      <c r="I13" s="73"/>
      <c r="J13" s="16"/>
      <c r="K13" s="21"/>
      <c r="L13" s="16"/>
      <c r="M13" s="22"/>
      <c r="N13" s="16" t="s">
        <v>181</v>
      </c>
      <c r="O13" s="21" t="s">
        <v>182</v>
      </c>
      <c r="P13" s="16" t="s">
        <v>183</v>
      </c>
      <c r="Q13" s="16"/>
      <c r="R13" s="16"/>
      <c r="S13" s="23">
        <v>36655</v>
      </c>
      <c r="T13" s="20" t="s">
        <v>65</v>
      </c>
      <c r="U13" s="23">
        <v>45055</v>
      </c>
      <c r="V13" s="19">
        <v>276</v>
      </c>
      <c r="W13" s="16">
        <v>1000</v>
      </c>
      <c r="X13" s="20" t="s">
        <v>161</v>
      </c>
      <c r="Y13" s="24" t="s">
        <v>219</v>
      </c>
      <c r="Z13" s="24" t="s">
        <v>115</v>
      </c>
    </row>
    <row r="23" spans="1:22">
      <c r="A23" s="142"/>
      <c r="B23" s="142"/>
      <c r="C23" s="145"/>
      <c r="N23" s="145"/>
      <c r="S23" s="142"/>
      <c r="U23" s="123"/>
    </row>
    <row r="24" spans="1:22">
      <c r="B24" s="123"/>
      <c r="C24" s="146"/>
      <c r="N24" s="145"/>
      <c r="S24" s="123"/>
      <c r="U24" s="123"/>
    </row>
    <row r="25" spans="1:22">
      <c r="N25" s="146"/>
      <c r="S25" s="143"/>
      <c r="U25" s="123"/>
      <c r="V25" s="147"/>
    </row>
    <row r="26" spans="1:22">
      <c r="C26" s="146"/>
      <c r="K26" s="14">
        <v>9079</v>
      </c>
      <c r="L26" s="46">
        <v>7478</v>
      </c>
      <c r="O26" s="44">
        <v>7800</v>
      </c>
      <c r="S26" s="144"/>
    </row>
    <row r="27" spans="1:22">
      <c r="B27" s="123"/>
      <c r="K27" s="14">
        <v>9060</v>
      </c>
      <c r="L27" s="46">
        <v>7641</v>
      </c>
      <c r="M27" s="46">
        <f>K26-L27</f>
        <v>1438</v>
      </c>
      <c r="O27" s="44">
        <v>340</v>
      </c>
    </row>
    <row r="28" spans="1:22">
      <c r="C28" s="149"/>
      <c r="K28" s="14">
        <f>K26-K27</f>
        <v>19</v>
      </c>
      <c r="L28" s="46">
        <f>L26-L27</f>
        <v>-163</v>
      </c>
      <c r="O28" s="44">
        <f>O26-O27</f>
        <v>7460</v>
      </c>
    </row>
    <row r="29" spans="1:22">
      <c r="B29" s="148"/>
    </row>
    <row r="30" spans="1:22">
      <c r="L30" s="46">
        <v>163</v>
      </c>
    </row>
    <row r="31" spans="1:22">
      <c r="C31" s="149"/>
      <c r="L31" s="46">
        <v>70</v>
      </c>
    </row>
    <row r="32" spans="1:22">
      <c r="B32" s="123"/>
      <c r="L32" s="46">
        <f>L30+L31</f>
        <v>233</v>
      </c>
    </row>
    <row r="33" spans="2:2">
      <c r="B33" s="150"/>
    </row>
  </sheetData>
  <phoneticPr fontId="13" type="noConversion"/>
  <hyperlinks>
    <hyperlink ref="O2" r:id="rId1" xr:uid="{E81C7775-6600-49AB-821A-7487D10401CC}"/>
    <hyperlink ref="O3" r:id="rId2" xr:uid="{0B4E1D46-49B6-439F-822F-A0175BC95ABD}"/>
    <hyperlink ref="O13" r:id="rId3" xr:uid="{90F6A32D-3703-441B-B4D2-E97F28163C67}"/>
    <hyperlink ref="E2" r:id="rId4" xr:uid="{CF936668-1C10-46E1-9620-5D616196CDB5}"/>
  </hyperlinks>
  <pageMargins left="0.7" right="0.7" top="0.75" bottom="0.75" header="0.3" footer="0.3"/>
  <pageSetup paperSize="9" orientation="portrait" r:id="rId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E759-7611-4D35-83F2-3AB89B42D69B}">
  <dimension ref="A1:K11"/>
  <sheetViews>
    <sheetView topLeftCell="B1" workbookViewId="0">
      <selection activeCell="J6" sqref="J6"/>
    </sheetView>
  </sheetViews>
  <sheetFormatPr defaultColWidth="8.69140625" defaultRowHeight="14.6"/>
  <cols>
    <col min="1" max="1" width="43.15234375" customWidth="1"/>
    <col min="2" max="2" width="47.3046875" customWidth="1"/>
    <col min="3" max="3" width="12.15234375" customWidth="1"/>
    <col min="4" max="4" width="13.3046875" customWidth="1"/>
    <col min="5" max="5" width="27.15234375" customWidth="1"/>
    <col min="6" max="6" width="20.15234375" customWidth="1"/>
    <col min="7" max="7" width="20" customWidth="1"/>
    <col min="8" max="8" width="33.3046875" customWidth="1"/>
    <col min="9" max="9" width="30.3046875" customWidth="1"/>
    <col min="10" max="10" width="14.3046875" customWidth="1"/>
    <col min="11" max="11" width="30.3046875" customWidth="1"/>
  </cols>
  <sheetData>
    <row r="1" spans="1:11" s="227" customFormat="1">
      <c r="A1" s="226" t="s">
        <v>1114</v>
      </c>
      <c r="B1" s="226" t="s">
        <v>1115</v>
      </c>
      <c r="C1" s="226" t="s">
        <v>1040</v>
      </c>
      <c r="D1" s="226" t="s">
        <v>1116</v>
      </c>
      <c r="E1" s="226" t="s">
        <v>1117</v>
      </c>
      <c r="F1" s="226" t="s">
        <v>1118</v>
      </c>
      <c r="G1" s="226" t="s">
        <v>1119</v>
      </c>
      <c r="H1" s="226" t="s">
        <v>1120</v>
      </c>
      <c r="I1" s="226" t="s">
        <v>1121</v>
      </c>
      <c r="K1" s="227" t="s">
        <v>1122</v>
      </c>
    </row>
    <row r="2" spans="1:11">
      <c r="A2" t="s">
        <v>1123</v>
      </c>
      <c r="B2" t="s">
        <v>1124</v>
      </c>
      <c r="C2" t="s">
        <v>1125</v>
      </c>
      <c r="D2" t="s">
        <v>1126</v>
      </c>
      <c r="E2" s="228" t="s">
        <v>1127</v>
      </c>
      <c r="F2" t="s">
        <v>1128</v>
      </c>
      <c r="G2" t="s">
        <v>1129</v>
      </c>
      <c r="H2" t="s">
        <v>1130</v>
      </c>
      <c r="I2" t="s">
        <v>1131</v>
      </c>
      <c r="J2" t="s">
        <v>1132</v>
      </c>
      <c r="K2" t="s">
        <v>1133</v>
      </c>
    </row>
    <row r="3" spans="1:11">
      <c r="E3" s="228"/>
    </row>
    <row r="4" spans="1:11">
      <c r="A4" t="s">
        <v>1134</v>
      </c>
      <c r="B4" t="s">
        <v>507</v>
      </c>
      <c r="C4" t="s">
        <v>1135</v>
      </c>
      <c r="D4" t="s">
        <v>1136</v>
      </c>
      <c r="E4" t="s">
        <v>1137</v>
      </c>
      <c r="F4" t="s">
        <v>1138</v>
      </c>
      <c r="G4" t="s">
        <v>1139</v>
      </c>
      <c r="H4" s="69" t="s">
        <v>1140</v>
      </c>
      <c r="I4" s="14" t="s">
        <v>1141</v>
      </c>
      <c r="K4" t="s">
        <v>1142</v>
      </c>
    </row>
    <row r="5" spans="1:11">
      <c r="H5" s="69"/>
      <c r="I5" s="14"/>
    </row>
    <row r="6" spans="1:11">
      <c r="A6" t="s">
        <v>1143</v>
      </c>
      <c r="B6" t="s">
        <v>65</v>
      </c>
      <c r="C6" t="s">
        <v>1144</v>
      </c>
      <c r="D6" t="s">
        <v>1145</v>
      </c>
      <c r="E6" t="s">
        <v>1146</v>
      </c>
      <c r="F6" t="s">
        <v>1138</v>
      </c>
      <c r="G6" t="s">
        <v>1139</v>
      </c>
      <c r="H6" s="69" t="s">
        <v>1140</v>
      </c>
      <c r="I6" s="14" t="s">
        <v>1147</v>
      </c>
      <c r="J6" t="s">
        <v>1434</v>
      </c>
      <c r="K6" s="14" t="s">
        <v>1148</v>
      </c>
    </row>
    <row r="7" spans="1:11">
      <c r="A7" t="s">
        <v>1149</v>
      </c>
      <c r="B7" t="s">
        <v>612</v>
      </c>
      <c r="H7" s="69"/>
      <c r="I7" s="14"/>
      <c r="K7" s="14"/>
    </row>
    <row r="8" spans="1:11">
      <c r="A8" t="s">
        <v>1150</v>
      </c>
      <c r="B8" t="s">
        <v>612</v>
      </c>
      <c r="H8" s="69"/>
      <c r="I8" s="14"/>
    </row>
    <row r="9" spans="1:11">
      <c r="A9" t="s">
        <v>1151</v>
      </c>
      <c r="B9" t="s">
        <v>1152</v>
      </c>
      <c r="C9" t="s">
        <v>1153</v>
      </c>
      <c r="D9" t="s">
        <v>1154</v>
      </c>
      <c r="E9" t="s">
        <v>1155</v>
      </c>
      <c r="F9" t="s">
        <v>1156</v>
      </c>
      <c r="G9" t="s">
        <v>1157</v>
      </c>
      <c r="H9" s="69" t="s">
        <v>1158</v>
      </c>
      <c r="I9" s="227" t="s">
        <v>1159</v>
      </c>
      <c r="J9" t="s">
        <v>1160</v>
      </c>
      <c r="K9" t="s">
        <v>1161</v>
      </c>
    </row>
    <row r="10" spans="1:11">
      <c r="G10" t="s">
        <v>1162</v>
      </c>
      <c r="H10" t="s">
        <v>1163</v>
      </c>
    </row>
    <row r="11" spans="1:11">
      <c r="A11" t="s">
        <v>1164</v>
      </c>
    </row>
  </sheetData>
  <phoneticPr fontId="13" type="noConversion"/>
  <hyperlinks>
    <hyperlink ref="H4" r:id="rId1" xr:uid="{5C63D14C-E6D2-44EF-A1EB-C9BE10BC4E2C}"/>
    <hyperlink ref="H9" r:id="rId2" xr:uid="{1F05FEE3-9733-4152-B63C-5E57EC68601A}"/>
    <hyperlink ref="H6" r:id="rId3" xr:uid="{F7DACAEB-915E-4F7B-AB6D-10CAA1544D6E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DD022-C907-4F7D-BD70-3DF9AC5265AE}">
  <dimension ref="A1:V28"/>
  <sheetViews>
    <sheetView workbookViewId="0">
      <selection activeCell="A2" sqref="A2"/>
    </sheetView>
  </sheetViews>
  <sheetFormatPr defaultColWidth="8.69140625" defaultRowHeight="14.6"/>
  <cols>
    <col min="1" max="1" width="16.15234375" bestFit="1" customWidth="1"/>
    <col min="2" max="2" width="31.15234375" customWidth="1"/>
    <col min="3" max="3" width="15.15234375" customWidth="1"/>
    <col min="4" max="4" width="16.15234375" style="152" customWidth="1"/>
    <col min="5" max="5" width="16.15234375" style="151" customWidth="1"/>
    <col min="6" max="6" width="16.3046875" style="152" bestFit="1" customWidth="1"/>
    <col min="7" max="7" width="16.15234375" style="152" customWidth="1"/>
    <col min="8" max="8" width="13.3046875" bestFit="1" customWidth="1"/>
    <col min="9" max="9" width="14.3046875" customWidth="1"/>
    <col min="10" max="12" width="13.3046875" bestFit="1" customWidth="1"/>
    <col min="13" max="17" width="14.3046875" bestFit="1" customWidth="1"/>
    <col min="18" max="19" width="15.3046875" bestFit="1" customWidth="1"/>
    <col min="20" max="22" width="17.15234375" bestFit="1" customWidth="1"/>
  </cols>
  <sheetData>
    <row r="1" spans="1:22" s="151" customFormat="1">
      <c r="A1" s="166">
        <v>0.26</v>
      </c>
      <c r="E1" s="151" t="s">
        <v>1165</v>
      </c>
      <c r="H1" s="151">
        <v>0.16500000000000001</v>
      </c>
      <c r="I1" s="151">
        <v>0.2</v>
      </c>
      <c r="J1" s="151">
        <v>0.25</v>
      </c>
      <c r="K1" s="151">
        <v>0.3</v>
      </c>
      <c r="L1" s="151">
        <v>0.4</v>
      </c>
      <c r="M1" s="151">
        <v>0.5</v>
      </c>
      <c r="N1" s="151">
        <v>0.75</v>
      </c>
      <c r="O1" s="151">
        <v>1</v>
      </c>
      <c r="P1" s="151">
        <v>1.5</v>
      </c>
      <c r="Q1" s="151">
        <v>3</v>
      </c>
      <c r="R1" s="151">
        <v>5</v>
      </c>
      <c r="S1" s="151">
        <v>10</v>
      </c>
      <c r="T1" s="151">
        <v>25</v>
      </c>
      <c r="U1" s="151">
        <v>50</v>
      </c>
      <c r="V1" s="151">
        <v>100</v>
      </c>
    </row>
    <row r="2" spans="1:22">
      <c r="A2" t="s">
        <v>1166</v>
      </c>
      <c r="B2" t="s">
        <v>161</v>
      </c>
      <c r="D2" s="152">
        <v>2900000</v>
      </c>
      <c r="E2" s="157">
        <v>0.17899999999999999</v>
      </c>
      <c r="F2" s="152">
        <f>D2*E2</f>
        <v>519100</v>
      </c>
    </row>
    <row r="3" spans="1:22">
      <c r="B3" t="s">
        <v>1167</v>
      </c>
      <c r="D3" s="152">
        <v>9050000</v>
      </c>
      <c r="E3" s="151">
        <v>0.23499999999999999</v>
      </c>
      <c r="F3" s="152">
        <f>D3*E3</f>
        <v>2126750</v>
      </c>
    </row>
    <row r="4" spans="1:22">
      <c r="B4" t="s">
        <v>178</v>
      </c>
      <c r="D4" s="152">
        <v>3500000</v>
      </c>
      <c r="E4" s="157">
        <v>0.2288</v>
      </c>
      <c r="F4" s="152">
        <f>D4*E4</f>
        <v>800800</v>
      </c>
    </row>
    <row r="5" spans="1:22">
      <c r="B5" t="s">
        <v>157</v>
      </c>
      <c r="D5" s="152">
        <v>4855000</v>
      </c>
      <c r="E5" s="157">
        <v>0.24759999999999999</v>
      </c>
      <c r="F5" s="152">
        <f>D5*E5</f>
        <v>1202098</v>
      </c>
    </row>
    <row r="6" spans="1:22" ht="14.8" customHeight="1" thickBot="1">
      <c r="D6" s="153">
        <f>SUM(D2:D5)</f>
        <v>20305000</v>
      </c>
      <c r="E6" s="159">
        <f>F6/D6</f>
        <v>0.22894597389805466</v>
      </c>
      <c r="F6" s="153">
        <f>SUM(F2:F5)</f>
        <v>4648748</v>
      </c>
      <c r="G6" s="153"/>
      <c r="H6" s="154">
        <f>$D$6*H1</f>
        <v>3350325</v>
      </c>
      <c r="I6" s="154">
        <f t="shared" ref="I6:V6" si="0">$D$6*I1</f>
        <v>4061000</v>
      </c>
      <c r="J6" s="154">
        <f t="shared" si="0"/>
        <v>5076250</v>
      </c>
      <c r="K6" s="154">
        <f t="shared" si="0"/>
        <v>6091500</v>
      </c>
      <c r="L6" s="154">
        <f t="shared" si="0"/>
        <v>8122000</v>
      </c>
      <c r="M6" s="154">
        <f t="shared" si="0"/>
        <v>10152500</v>
      </c>
      <c r="N6" s="154">
        <f t="shared" si="0"/>
        <v>15228750</v>
      </c>
      <c r="O6" s="155">
        <f t="shared" si="0"/>
        <v>20305000</v>
      </c>
      <c r="P6" s="154">
        <f t="shared" si="0"/>
        <v>30457500</v>
      </c>
      <c r="Q6" s="154">
        <f t="shared" si="0"/>
        <v>60915000</v>
      </c>
      <c r="R6" s="155">
        <f t="shared" si="0"/>
        <v>101525000</v>
      </c>
      <c r="S6" s="154">
        <f t="shared" si="0"/>
        <v>203050000</v>
      </c>
      <c r="T6" s="154">
        <f t="shared" si="0"/>
        <v>507625000</v>
      </c>
      <c r="U6" s="155">
        <f t="shared" si="0"/>
        <v>1015250000</v>
      </c>
      <c r="V6" s="154">
        <f t="shared" si="0"/>
        <v>2030500000</v>
      </c>
    </row>
    <row r="7" spans="1:22" ht="15" thickTop="1">
      <c r="D7" s="152">
        <f>D2+D3+D5</f>
        <v>16805000</v>
      </c>
      <c r="E7" s="160">
        <f>F7/D7</f>
        <v>0.22897637607854804</v>
      </c>
      <c r="F7" s="112">
        <f>F2+F3+F5</f>
        <v>3847948</v>
      </c>
    </row>
    <row r="8" spans="1:22">
      <c r="D8" s="162">
        <f>E8/F6</f>
        <v>0.13563910110851352</v>
      </c>
      <c r="E8" s="112">
        <f>F8-F6</f>
        <v>630552</v>
      </c>
      <c r="F8" s="112">
        <f>D6*A1</f>
        <v>5279300</v>
      </c>
    </row>
    <row r="9" spans="1:22">
      <c r="B9" t="s">
        <v>1168</v>
      </c>
    </row>
    <row r="10" spans="1:22">
      <c r="B10" t="s">
        <v>1169</v>
      </c>
      <c r="D10" s="152">
        <v>5000</v>
      </c>
      <c r="H10" s="112">
        <f>$D$10*H1</f>
        <v>825</v>
      </c>
      <c r="I10" s="112">
        <f t="shared" ref="I10:V10" si="1">$D$10*I1</f>
        <v>1000</v>
      </c>
      <c r="J10" s="112">
        <f t="shared" si="1"/>
        <v>1250</v>
      </c>
      <c r="K10" s="112">
        <f t="shared" si="1"/>
        <v>1500</v>
      </c>
      <c r="L10" s="112">
        <f t="shared" si="1"/>
        <v>2000</v>
      </c>
      <c r="M10" s="112">
        <f t="shared" si="1"/>
        <v>2500</v>
      </c>
      <c r="N10" s="112">
        <f t="shared" si="1"/>
        <v>3750</v>
      </c>
      <c r="O10" s="112">
        <f t="shared" si="1"/>
        <v>5000</v>
      </c>
      <c r="P10" s="112">
        <f t="shared" si="1"/>
        <v>7500</v>
      </c>
      <c r="Q10" s="112">
        <f t="shared" si="1"/>
        <v>15000</v>
      </c>
      <c r="R10" s="112">
        <f t="shared" si="1"/>
        <v>25000</v>
      </c>
      <c r="S10" s="112">
        <f t="shared" si="1"/>
        <v>50000</v>
      </c>
      <c r="T10" s="112">
        <f t="shared" si="1"/>
        <v>125000</v>
      </c>
      <c r="U10" s="112">
        <f t="shared" si="1"/>
        <v>250000</v>
      </c>
      <c r="V10" s="112">
        <f t="shared" si="1"/>
        <v>500000</v>
      </c>
    </row>
    <row r="11" spans="1:22">
      <c r="B11" t="s">
        <v>1170</v>
      </c>
      <c r="D11" s="152">
        <v>5000</v>
      </c>
      <c r="H11" s="112">
        <f>$D$11*H1</f>
        <v>825</v>
      </c>
      <c r="I11" s="112">
        <f t="shared" ref="I11:V11" si="2">$D$11*I1</f>
        <v>1000</v>
      </c>
      <c r="J11" s="112">
        <f t="shared" si="2"/>
        <v>1250</v>
      </c>
      <c r="K11" s="112">
        <f t="shared" si="2"/>
        <v>1500</v>
      </c>
      <c r="L11" s="112">
        <f t="shared" si="2"/>
        <v>2000</v>
      </c>
      <c r="M11" s="112">
        <f t="shared" si="2"/>
        <v>2500</v>
      </c>
      <c r="N11" s="112">
        <f t="shared" si="2"/>
        <v>3750</v>
      </c>
      <c r="O11" s="112">
        <f t="shared" si="2"/>
        <v>5000</v>
      </c>
      <c r="P11" s="112">
        <f t="shared" si="2"/>
        <v>7500</v>
      </c>
      <c r="Q11" s="112">
        <f t="shared" si="2"/>
        <v>15000</v>
      </c>
      <c r="R11" s="112">
        <f t="shared" si="2"/>
        <v>25000</v>
      </c>
      <c r="S11" s="112">
        <f t="shared" si="2"/>
        <v>50000</v>
      </c>
      <c r="T11" s="112">
        <f t="shared" si="2"/>
        <v>125000</v>
      </c>
      <c r="U11" s="112">
        <f t="shared" si="2"/>
        <v>250000</v>
      </c>
      <c r="V11" s="112">
        <f t="shared" si="2"/>
        <v>500000</v>
      </c>
    </row>
    <row r="12" spans="1:22">
      <c r="B12" t="s">
        <v>1171</v>
      </c>
      <c r="D12" s="152">
        <v>5000</v>
      </c>
      <c r="H12" s="112">
        <f>$D$11*H1</f>
        <v>825</v>
      </c>
      <c r="I12" s="112">
        <f t="shared" ref="I12:V12" si="3">$D$12*I1</f>
        <v>1000</v>
      </c>
      <c r="J12" s="112">
        <f t="shared" si="3"/>
        <v>1250</v>
      </c>
      <c r="K12" s="112">
        <f t="shared" si="3"/>
        <v>1500</v>
      </c>
      <c r="L12" s="112">
        <f t="shared" si="3"/>
        <v>2000</v>
      </c>
      <c r="M12" s="112">
        <f t="shared" si="3"/>
        <v>2500</v>
      </c>
      <c r="N12" s="112">
        <f t="shared" si="3"/>
        <v>3750</v>
      </c>
      <c r="O12" s="112">
        <f t="shared" si="3"/>
        <v>5000</v>
      </c>
      <c r="P12" s="112">
        <f t="shared" si="3"/>
        <v>7500</v>
      </c>
      <c r="Q12" s="112">
        <f t="shared" si="3"/>
        <v>15000</v>
      </c>
      <c r="R12" s="112">
        <f t="shared" si="3"/>
        <v>25000</v>
      </c>
      <c r="S12" s="112">
        <f t="shared" si="3"/>
        <v>50000</v>
      </c>
      <c r="T12" s="112">
        <f t="shared" si="3"/>
        <v>125000</v>
      </c>
      <c r="U12" s="112">
        <f t="shared" si="3"/>
        <v>250000</v>
      </c>
      <c r="V12" s="112">
        <f t="shared" si="3"/>
        <v>500000</v>
      </c>
    </row>
    <row r="13" spans="1:22">
      <c r="B13" t="s">
        <v>1172</v>
      </c>
      <c r="D13" s="152">
        <v>5000</v>
      </c>
      <c r="H13" s="112">
        <f>$D$11*H1</f>
        <v>825</v>
      </c>
      <c r="I13" s="112">
        <f t="shared" ref="I13:V13" si="4">$D$11*I1</f>
        <v>1000</v>
      </c>
      <c r="J13" s="112">
        <f t="shared" si="4"/>
        <v>1250</v>
      </c>
      <c r="K13" s="112">
        <f t="shared" si="4"/>
        <v>1500</v>
      </c>
      <c r="L13" s="112">
        <f t="shared" si="4"/>
        <v>2000</v>
      </c>
      <c r="M13" s="112">
        <f t="shared" si="4"/>
        <v>2500</v>
      </c>
      <c r="N13" s="112">
        <f t="shared" si="4"/>
        <v>3750</v>
      </c>
      <c r="O13" s="112">
        <f t="shared" si="4"/>
        <v>5000</v>
      </c>
      <c r="P13" s="112">
        <f t="shared" si="4"/>
        <v>7500</v>
      </c>
      <c r="Q13" s="112">
        <f t="shared" si="4"/>
        <v>15000</v>
      </c>
      <c r="R13" s="112">
        <f t="shared" si="4"/>
        <v>25000</v>
      </c>
      <c r="S13" s="112">
        <f t="shared" si="4"/>
        <v>50000</v>
      </c>
      <c r="T13" s="112">
        <f t="shared" si="4"/>
        <v>125000</v>
      </c>
      <c r="U13" s="112">
        <f t="shared" si="4"/>
        <v>250000</v>
      </c>
      <c r="V13" s="112">
        <f t="shared" si="4"/>
        <v>500000</v>
      </c>
    </row>
    <row r="15" spans="1:22">
      <c r="B15" t="s">
        <v>1173</v>
      </c>
      <c r="C15" s="158">
        <v>0.22891</v>
      </c>
      <c r="D15" s="152">
        <f>F7</f>
        <v>3847948</v>
      </c>
      <c r="E15" s="151">
        <f>F15-D15</f>
        <v>521352</v>
      </c>
      <c r="F15" s="152">
        <f>D7*A1</f>
        <v>4369300</v>
      </c>
    </row>
    <row r="16" spans="1:22">
      <c r="B16" t="s">
        <v>1174</v>
      </c>
      <c r="C16" s="158">
        <v>0.21179999999999999</v>
      </c>
      <c r="D16" s="152">
        <v>4278888</v>
      </c>
      <c r="E16" s="151">
        <f>F16-D16</f>
        <v>1000412</v>
      </c>
      <c r="F16" s="152">
        <f>D6*A1</f>
        <v>5279300</v>
      </c>
    </row>
    <row r="17" spans="1:14">
      <c r="N17" s="93"/>
    </row>
    <row r="18" spans="1:14" ht="15" thickBot="1">
      <c r="E18" s="156">
        <f>E16-E8</f>
        <v>369860</v>
      </c>
      <c r="N18" s="93"/>
    </row>
    <row r="19" spans="1:14" ht="15" thickTop="1">
      <c r="D19" s="164"/>
      <c r="N19" s="93"/>
    </row>
    <row r="20" spans="1:14">
      <c r="D20" s="164"/>
      <c r="N20" s="93"/>
    </row>
    <row r="21" spans="1:14">
      <c r="A21" s="93" t="s">
        <v>1175</v>
      </c>
      <c r="B21" s="112" t="s">
        <v>312</v>
      </c>
      <c r="D21" t="s">
        <v>1176</v>
      </c>
      <c r="E21"/>
      <c r="F21" s="112" t="s">
        <v>1177</v>
      </c>
      <c r="G21"/>
      <c r="H21" t="s">
        <v>1178</v>
      </c>
      <c r="J21" s="112" t="s">
        <v>1179</v>
      </c>
      <c r="L21" s="163" t="s">
        <v>1180</v>
      </c>
    </row>
    <row r="22" spans="1:14">
      <c r="A22" s="167">
        <v>85.55</v>
      </c>
      <c r="B22" s="112">
        <v>203832.8</v>
      </c>
      <c r="D22" s="122">
        <f>B22/A22</f>
        <v>2382.6160140268848</v>
      </c>
      <c r="E22"/>
      <c r="F22" s="165">
        <v>3015.46</v>
      </c>
      <c r="G22"/>
      <c r="H22" s="122">
        <f>A22*F22</f>
        <v>257972.603</v>
      </c>
      <c r="J22" s="112">
        <f>H22-B22</f>
        <v>54139.803000000014</v>
      </c>
      <c r="L22" s="163">
        <f>J22/B22</f>
        <v>0.26560888630289148</v>
      </c>
    </row>
    <row r="23" spans="1:14">
      <c r="A23" s="167">
        <v>16947</v>
      </c>
      <c r="B23" s="112">
        <v>517474</v>
      </c>
      <c r="D23" s="122">
        <f>B23/A23</f>
        <v>30.534843925178496</v>
      </c>
      <c r="E23"/>
      <c r="F23" s="165">
        <v>38.340000000000003</v>
      </c>
      <c r="G23"/>
      <c r="H23" s="122">
        <f>A23*F23</f>
        <v>649747.9800000001</v>
      </c>
      <c r="J23" s="112">
        <f>H23-B23</f>
        <v>132273.9800000001</v>
      </c>
      <c r="L23" s="163">
        <f>J23/B23</f>
        <v>0.2556147361993068</v>
      </c>
    </row>
    <row r="24" spans="1:14">
      <c r="D24" s="164"/>
      <c r="N24" s="93"/>
    </row>
    <row r="25" spans="1:14">
      <c r="N25" s="93"/>
    </row>
    <row r="26" spans="1:14">
      <c r="N26" s="93"/>
    </row>
    <row r="27" spans="1:14">
      <c r="N27" s="93"/>
    </row>
    <row r="28" spans="1:14">
      <c r="N28" s="93"/>
    </row>
  </sheetData>
  <pageMargins left="0.7" right="0.7" top="0.75" bottom="0.75" header="0.3" footer="0.3"/>
  <ignoredErrors>
    <ignoredError sqref="E6" formula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5EEA-E36D-495C-AFC1-AD3AA099FE5F}">
  <dimension ref="B1:L89"/>
  <sheetViews>
    <sheetView workbookViewId="0">
      <selection activeCell="I48" sqref="I48"/>
    </sheetView>
  </sheetViews>
  <sheetFormatPr defaultColWidth="8.69140625" defaultRowHeight="14.6"/>
  <cols>
    <col min="2" max="2" width="32.15234375" style="93" bestFit="1" customWidth="1"/>
    <col min="3" max="3" width="11.15234375" style="93" bestFit="1" customWidth="1"/>
    <col min="4" max="4" width="8.3046875" style="93"/>
    <col min="5" max="5" width="37.3046875" style="93" bestFit="1" customWidth="1"/>
    <col min="6" max="6" width="13.3046875" style="141" bestFit="1" customWidth="1"/>
    <col min="7" max="7" width="38.3046875" bestFit="1" customWidth="1"/>
    <col min="8" max="8" width="8.3046875" style="141"/>
    <col min="9" max="9" width="49.15234375" customWidth="1"/>
    <col min="10" max="10" width="44.69140625" bestFit="1" customWidth="1"/>
    <col min="11" max="11" width="54.69140625" bestFit="1" customWidth="1"/>
  </cols>
  <sheetData>
    <row r="1" spans="2:12" ht="15" thickBot="1"/>
    <row r="2" spans="2:12" ht="15" thickBot="1">
      <c r="B2" s="172" t="s">
        <v>134</v>
      </c>
      <c r="C2" s="173">
        <v>0.6</v>
      </c>
      <c r="E2" s="172" t="s">
        <v>1092</v>
      </c>
      <c r="F2" s="173">
        <v>0.4</v>
      </c>
    </row>
    <row r="3" spans="2:12">
      <c r="C3" s="176"/>
      <c r="E3" s="174"/>
    </row>
    <row r="4" spans="2:12" ht="15" thickBot="1">
      <c r="C4" s="177"/>
      <c r="E4" s="175"/>
    </row>
    <row r="5" spans="2:12" ht="15" thickBot="1">
      <c r="B5" s="392" t="s">
        <v>1181</v>
      </c>
      <c r="C5" s="393"/>
      <c r="D5" s="393"/>
      <c r="E5" s="394"/>
      <c r="F5" s="173">
        <v>0.33</v>
      </c>
      <c r="G5" s="171" t="s">
        <v>1182</v>
      </c>
    </row>
    <row r="7" spans="2:12" ht="15" thickBot="1"/>
    <row r="8" spans="2:12" ht="15" thickBot="1">
      <c r="B8" s="392" t="s">
        <v>440</v>
      </c>
      <c r="C8" s="393"/>
      <c r="D8" s="393"/>
      <c r="E8" s="393"/>
      <c r="F8" s="393"/>
      <c r="G8" s="393"/>
      <c r="H8" s="393"/>
      <c r="I8" s="394"/>
      <c r="K8" s="392" t="s">
        <v>1183</v>
      </c>
      <c r="L8" s="394"/>
    </row>
    <row r="9" spans="2:12">
      <c r="B9" s="176"/>
      <c r="E9" s="174"/>
      <c r="G9" s="193"/>
      <c r="I9" s="188"/>
      <c r="K9" s="182" t="s">
        <v>1107</v>
      </c>
      <c r="L9" s="185">
        <v>0.1</v>
      </c>
    </row>
    <row r="10" spans="2:12">
      <c r="B10" s="192"/>
      <c r="E10" s="191"/>
      <c r="G10" s="194"/>
      <c r="I10" s="189"/>
      <c r="K10" s="183" t="s">
        <v>344</v>
      </c>
      <c r="L10" s="186">
        <v>0.55000000000000004</v>
      </c>
    </row>
    <row r="11" spans="2:12" ht="15" thickBot="1">
      <c r="B11" s="192"/>
      <c r="E11" s="191"/>
      <c r="G11" s="194"/>
      <c r="H11" s="179"/>
      <c r="I11" s="189"/>
      <c r="K11" s="184" t="s">
        <v>1184</v>
      </c>
      <c r="L11" s="187">
        <v>0.35</v>
      </c>
    </row>
    <row r="12" spans="2:12" ht="15" thickBot="1">
      <c r="B12" s="177"/>
      <c r="E12" s="175"/>
      <c r="G12" s="195"/>
      <c r="I12" s="190"/>
    </row>
    <row r="13" spans="2:12" ht="15" thickBot="1">
      <c r="B13" s="172" t="s">
        <v>538</v>
      </c>
      <c r="E13" s="172" t="s">
        <v>964</v>
      </c>
      <c r="G13" s="172" t="s">
        <v>507</v>
      </c>
      <c r="I13" s="172" t="s">
        <v>1185</v>
      </c>
    </row>
    <row r="14" spans="2:12">
      <c r="B14" s="93" t="s">
        <v>1186</v>
      </c>
      <c r="E14" s="93" t="s">
        <v>1187</v>
      </c>
      <c r="G14" t="s">
        <v>1188</v>
      </c>
    </row>
    <row r="15" spans="2:12">
      <c r="E15" s="93" t="s">
        <v>1189</v>
      </c>
      <c r="G15" t="s">
        <v>1190</v>
      </c>
      <c r="I15" t="s">
        <v>1191</v>
      </c>
    </row>
    <row r="16" spans="2:12">
      <c r="E16" s="93" t="s">
        <v>538</v>
      </c>
      <c r="I16" t="s">
        <v>1192</v>
      </c>
    </row>
    <row r="17" spans="2:12">
      <c r="E17" s="93" t="s">
        <v>1193</v>
      </c>
      <c r="I17" t="s">
        <v>1194</v>
      </c>
    </row>
    <row r="18" spans="2:12" ht="15" thickBot="1"/>
    <row r="19" spans="2:12" ht="15" thickBot="1">
      <c r="J19" s="180" t="s">
        <v>1195</v>
      </c>
      <c r="K19" s="181" t="s">
        <v>1196</v>
      </c>
    </row>
    <row r="21" spans="2:12">
      <c r="I21" t="s">
        <v>1197</v>
      </c>
    </row>
    <row r="22" spans="2:12">
      <c r="I22" t="s">
        <v>1198</v>
      </c>
    </row>
    <row r="24" spans="2:12" ht="15" thickBot="1">
      <c r="B24" s="196"/>
      <c r="C24" s="196"/>
      <c r="D24" s="196"/>
      <c r="E24" s="196"/>
      <c r="F24" s="197"/>
      <c r="G24" s="198"/>
      <c r="H24" s="197"/>
      <c r="I24" s="198"/>
      <c r="J24" s="198"/>
      <c r="K24" s="198"/>
      <c r="L24" s="198"/>
    </row>
    <row r="26" spans="2:12" ht="15" thickBot="1">
      <c r="B26" s="199" t="s">
        <v>1199</v>
      </c>
      <c r="G26" s="112"/>
      <c r="I26" s="198" t="s">
        <v>1200</v>
      </c>
    </row>
    <row r="28" spans="2:12">
      <c r="B28" s="199" t="s">
        <v>1201</v>
      </c>
      <c r="D28" s="199" t="s">
        <v>1202</v>
      </c>
      <c r="G28" s="70"/>
      <c r="I28" t="s">
        <v>1203</v>
      </c>
    </row>
    <row r="29" spans="2:12">
      <c r="B29" s="199" t="s">
        <v>1204</v>
      </c>
      <c r="D29" s="199" t="s">
        <v>1205</v>
      </c>
      <c r="I29" t="s">
        <v>1206</v>
      </c>
    </row>
    <row r="30" spans="2:12">
      <c r="B30" s="199" t="s">
        <v>1207</v>
      </c>
      <c r="G30" s="122"/>
      <c r="I30" t="s">
        <v>1208</v>
      </c>
    </row>
    <row r="31" spans="2:12">
      <c r="B31" s="199" t="s">
        <v>1209</v>
      </c>
      <c r="G31" s="122"/>
      <c r="I31" t="s">
        <v>1210</v>
      </c>
    </row>
    <row r="32" spans="2:12">
      <c r="B32" s="199"/>
      <c r="G32" s="122"/>
    </row>
    <row r="33" spans="2:10">
      <c r="B33" s="199" t="s">
        <v>1211</v>
      </c>
      <c r="C33" s="93" t="s">
        <v>1212</v>
      </c>
      <c r="G33" s="122"/>
    </row>
    <row r="34" spans="2:10">
      <c r="B34" s="199">
        <v>250</v>
      </c>
      <c r="C34" s="209">
        <v>2000</v>
      </c>
      <c r="E34" s="210">
        <f>B34*C34</f>
        <v>500000</v>
      </c>
      <c r="G34" s="122"/>
    </row>
    <row r="35" spans="2:10" ht="15" thickBot="1">
      <c r="B35" s="199"/>
      <c r="G35" s="122"/>
    </row>
    <row r="36" spans="2:10">
      <c r="B36" s="389" t="s">
        <v>1213</v>
      </c>
      <c r="C36" s="390"/>
      <c r="D36" s="390"/>
      <c r="E36" s="390"/>
      <c r="F36" s="391"/>
    </row>
    <row r="37" spans="2:10" ht="15" thickBot="1">
      <c r="B37" s="200">
        <v>0.03</v>
      </c>
      <c r="C37" s="122">
        <f>B37*$E$34</f>
        <v>15000</v>
      </c>
      <c r="D37">
        <v>25</v>
      </c>
      <c r="E37"/>
      <c r="F37" s="201">
        <f>C37*D37</f>
        <v>375000</v>
      </c>
      <c r="I37" s="198" t="s">
        <v>1214</v>
      </c>
    </row>
    <row r="38" spans="2:10">
      <c r="B38" s="200">
        <v>2.5000000000000001E-2</v>
      </c>
      <c r="C38" s="122">
        <f>B38*$E$34</f>
        <v>12500</v>
      </c>
      <c r="D38">
        <v>25</v>
      </c>
      <c r="E38" s="202">
        <f>D37+D38</f>
        <v>50</v>
      </c>
      <c r="F38" s="201">
        <f t="shared" ref="F38:F42" si="0">C38*D38</f>
        <v>312500</v>
      </c>
      <c r="I38" t="s">
        <v>1215</v>
      </c>
      <c r="J38" t="s">
        <v>1216</v>
      </c>
    </row>
    <row r="39" spans="2:10">
      <c r="B39" s="200">
        <v>0.02</v>
      </c>
      <c r="C39" s="122">
        <f t="shared" ref="C39:C42" si="1">B39*$E$34</f>
        <v>10000</v>
      </c>
      <c r="D39">
        <v>25</v>
      </c>
      <c r="E39" s="202">
        <f>E38+D39</f>
        <v>75</v>
      </c>
      <c r="F39" s="201">
        <f t="shared" si="0"/>
        <v>250000</v>
      </c>
      <c r="I39" t="s">
        <v>1217</v>
      </c>
      <c r="J39" t="s">
        <v>1216</v>
      </c>
    </row>
    <row r="40" spans="2:10">
      <c r="B40" s="200">
        <v>1.4999999999999999E-2</v>
      </c>
      <c r="C40" s="122">
        <f t="shared" si="1"/>
        <v>7500</v>
      </c>
      <c r="D40">
        <v>25</v>
      </c>
      <c r="E40" s="202">
        <f t="shared" ref="E40:E42" si="2">E39+D40</f>
        <v>100</v>
      </c>
      <c r="F40" s="201">
        <f t="shared" si="0"/>
        <v>187500</v>
      </c>
      <c r="I40" t="s">
        <v>1218</v>
      </c>
    </row>
    <row r="41" spans="2:10">
      <c r="B41" s="200">
        <v>0.01</v>
      </c>
      <c r="C41" s="122">
        <f t="shared" si="1"/>
        <v>5000</v>
      </c>
      <c r="D41">
        <v>25</v>
      </c>
      <c r="E41" s="202">
        <f t="shared" si="2"/>
        <v>125</v>
      </c>
      <c r="F41" s="201">
        <f t="shared" si="0"/>
        <v>125000</v>
      </c>
    </row>
    <row r="42" spans="2:10">
      <c r="B42" s="200">
        <v>5.0000000000000001E-3</v>
      </c>
      <c r="C42" s="122">
        <f t="shared" si="1"/>
        <v>2500</v>
      </c>
      <c r="D42">
        <v>125</v>
      </c>
      <c r="E42" s="202">
        <f t="shared" si="2"/>
        <v>250</v>
      </c>
      <c r="F42" s="201">
        <f t="shared" si="0"/>
        <v>312500</v>
      </c>
    </row>
    <row r="43" spans="2:10" ht="15" thickBot="1">
      <c r="B43" s="200"/>
      <c r="C43"/>
      <c r="D43" s="203">
        <f>SUM(D37:D42)</f>
        <v>250</v>
      </c>
      <c r="E43" s="204"/>
      <c r="F43" s="205">
        <f>SUM(F37:F42)</f>
        <v>1562500</v>
      </c>
      <c r="I43" s="198" t="s">
        <v>1219</v>
      </c>
    </row>
    <row r="44" spans="2:10" ht="15.45" thickTop="1" thickBot="1">
      <c r="B44" s="206"/>
      <c r="C44" s="198"/>
      <c r="D44" s="198"/>
      <c r="E44" s="207"/>
      <c r="F44" s="208"/>
      <c r="I44" t="s">
        <v>1220</v>
      </c>
    </row>
    <row r="45" spans="2:10" ht="15" thickBot="1">
      <c r="B45" s="161"/>
      <c r="C45"/>
      <c r="D45"/>
      <c r="E45" s="112"/>
      <c r="F45"/>
      <c r="I45" t="s">
        <v>1111</v>
      </c>
    </row>
    <row r="46" spans="2:10">
      <c r="B46" s="389" t="s">
        <v>1221</v>
      </c>
      <c r="C46" s="390"/>
      <c r="D46" s="390"/>
      <c r="E46" s="390"/>
      <c r="F46" s="391"/>
      <c r="I46" t="s">
        <v>1222</v>
      </c>
    </row>
    <row r="47" spans="2:10">
      <c r="B47" s="200">
        <v>2.5000000000000001E-2</v>
      </c>
      <c r="C47" s="122">
        <f>B47*$E$34</f>
        <v>12500</v>
      </c>
      <c r="D47">
        <v>25</v>
      </c>
      <c r="E47"/>
      <c r="F47" s="201">
        <f>C47*D47</f>
        <v>312500</v>
      </c>
      <c r="I47" t="s">
        <v>1223</v>
      </c>
    </row>
    <row r="48" spans="2:10">
      <c r="B48" s="200">
        <f>B47-0.5%</f>
        <v>0.02</v>
      </c>
      <c r="C48" s="122">
        <f t="shared" ref="C48:C51" si="3">B48*$E$34</f>
        <v>10000</v>
      </c>
      <c r="D48">
        <v>25</v>
      </c>
      <c r="E48" s="202">
        <f>D47+D48</f>
        <v>50</v>
      </c>
      <c r="F48" s="201">
        <f t="shared" ref="F48:F51" si="4">C48*D48</f>
        <v>250000</v>
      </c>
      <c r="I48" t="s">
        <v>1224</v>
      </c>
      <c r="J48" t="s">
        <v>1225</v>
      </c>
    </row>
    <row r="49" spans="2:10">
      <c r="B49" s="200">
        <f t="shared" ref="B49:B50" si="5">B48-0.5%</f>
        <v>1.4999999999999999E-2</v>
      </c>
      <c r="C49" s="122">
        <f t="shared" si="3"/>
        <v>7500</v>
      </c>
      <c r="D49">
        <v>25</v>
      </c>
      <c r="E49" s="202">
        <f>E48+D49</f>
        <v>75</v>
      </c>
      <c r="F49" s="201">
        <f t="shared" si="4"/>
        <v>187500</v>
      </c>
      <c r="J49" t="s">
        <v>1226</v>
      </c>
    </row>
    <row r="50" spans="2:10">
      <c r="B50" s="200">
        <f t="shared" si="5"/>
        <v>9.9999999999999985E-3</v>
      </c>
      <c r="C50" s="122">
        <f t="shared" si="3"/>
        <v>4999.9999999999991</v>
      </c>
      <c r="D50">
        <v>25</v>
      </c>
      <c r="E50" s="202">
        <f t="shared" ref="E50:E51" si="6">E49+D50</f>
        <v>100</v>
      </c>
      <c r="F50" s="201">
        <f t="shared" si="4"/>
        <v>124999.99999999997</v>
      </c>
      <c r="I50" t="s">
        <v>1227</v>
      </c>
    </row>
    <row r="51" spans="2:10">
      <c r="B51" s="200">
        <f>B50-0.5%</f>
        <v>4.9999999999999984E-3</v>
      </c>
      <c r="C51" s="122">
        <f t="shared" si="3"/>
        <v>2499.9999999999991</v>
      </c>
      <c r="D51">
        <v>150</v>
      </c>
      <c r="E51" s="202">
        <f t="shared" si="6"/>
        <v>250</v>
      </c>
      <c r="F51" s="201">
        <f t="shared" si="4"/>
        <v>374999.99999999988</v>
      </c>
    </row>
    <row r="52" spans="2:10" ht="15" thickBot="1">
      <c r="B52" s="200"/>
      <c r="C52"/>
      <c r="D52" s="203">
        <f>SUM(D47:D51)</f>
        <v>250</v>
      </c>
      <c r="E52" s="204"/>
      <c r="F52" s="205">
        <f>SUM(F47:F51)</f>
        <v>1250000</v>
      </c>
    </row>
    <row r="53" spans="2:10" ht="15.45" thickTop="1" thickBot="1">
      <c r="B53" s="178"/>
      <c r="C53" s="198"/>
      <c r="D53" s="198"/>
      <c r="E53" s="207"/>
      <c r="F53" s="208"/>
    </row>
    <row r="54" spans="2:10" ht="15" thickBot="1">
      <c r="B54"/>
      <c r="C54"/>
      <c r="D54"/>
      <c r="E54" s="112"/>
      <c r="F54"/>
    </row>
    <row r="55" spans="2:10">
      <c r="B55" s="389" t="s">
        <v>1228</v>
      </c>
      <c r="C55" s="390"/>
      <c r="D55" s="390"/>
      <c r="E55" s="390"/>
      <c r="F55" s="391"/>
    </row>
    <row r="56" spans="2:10">
      <c r="B56" s="200">
        <v>0.02</v>
      </c>
      <c r="C56" s="122">
        <f>B56*$E$34</f>
        <v>10000</v>
      </c>
      <c r="D56">
        <v>25</v>
      </c>
      <c r="E56"/>
      <c r="F56" s="201">
        <f>C56*D56</f>
        <v>250000</v>
      </c>
    </row>
    <row r="57" spans="2:10">
      <c r="B57" s="200">
        <f>B56-0.5%</f>
        <v>1.4999999999999999E-2</v>
      </c>
      <c r="C57" s="122">
        <f t="shared" ref="C57:C59" si="7">B57*$E$34</f>
        <v>7500</v>
      </c>
      <c r="D57">
        <v>25</v>
      </c>
      <c r="E57" s="202">
        <f>D56+D57</f>
        <v>50</v>
      </c>
      <c r="F57" s="201">
        <f t="shared" ref="F57:F59" si="8">C57*D57</f>
        <v>187500</v>
      </c>
    </row>
    <row r="58" spans="2:10">
      <c r="B58" s="200">
        <f t="shared" ref="B58:B59" si="9">B57-0.5%</f>
        <v>9.9999999999999985E-3</v>
      </c>
      <c r="C58" s="122">
        <f t="shared" si="7"/>
        <v>4999.9999999999991</v>
      </c>
      <c r="D58">
        <v>25</v>
      </c>
      <c r="E58" s="202">
        <f>E57+D58</f>
        <v>75</v>
      </c>
      <c r="F58" s="201">
        <f t="shared" si="8"/>
        <v>124999.99999999997</v>
      </c>
    </row>
    <row r="59" spans="2:10">
      <c r="B59" s="200">
        <f t="shared" si="9"/>
        <v>4.9999999999999984E-3</v>
      </c>
      <c r="C59" s="122">
        <f t="shared" si="7"/>
        <v>2499.9999999999991</v>
      </c>
      <c r="D59">
        <v>175</v>
      </c>
      <c r="E59" s="202">
        <f t="shared" ref="E59" si="10">E58+D59</f>
        <v>250</v>
      </c>
      <c r="F59" s="201">
        <f t="shared" si="8"/>
        <v>437499.99999999983</v>
      </c>
    </row>
    <row r="60" spans="2:10" ht="15" thickBot="1">
      <c r="B60" s="200"/>
      <c r="C60"/>
      <c r="D60" s="203">
        <f>SUM(D56:D59)</f>
        <v>250</v>
      </c>
      <c r="E60" s="204"/>
      <c r="F60" s="205">
        <f>SUM(F56:F59)</f>
        <v>999999.99999999977</v>
      </c>
    </row>
    <row r="61" spans="2:10" ht="15.45" thickTop="1" thickBot="1">
      <c r="B61" s="178"/>
      <c r="C61" s="198"/>
      <c r="D61" s="198"/>
      <c r="E61" s="207"/>
      <c r="F61" s="208"/>
    </row>
    <row r="62" spans="2:10" ht="15" thickBot="1">
      <c r="B62"/>
      <c r="C62"/>
      <c r="D62"/>
      <c r="E62" s="112"/>
      <c r="F62"/>
    </row>
    <row r="63" spans="2:10">
      <c r="B63" s="389" t="s">
        <v>1229</v>
      </c>
      <c r="C63" s="390"/>
      <c r="D63" s="390"/>
      <c r="E63" s="390"/>
      <c r="F63" s="391"/>
    </row>
    <row r="64" spans="2:10">
      <c r="B64" s="200">
        <v>1.4999999999999999E-2</v>
      </c>
      <c r="C64" s="122">
        <f>B64*$E$34</f>
        <v>7500</v>
      </c>
      <c r="D64">
        <v>25</v>
      </c>
      <c r="E64"/>
      <c r="F64" s="201">
        <f>C64*D64</f>
        <v>187500</v>
      </c>
    </row>
    <row r="65" spans="2:6">
      <c r="B65" s="200">
        <f>B64-0.5%</f>
        <v>9.9999999999999985E-3</v>
      </c>
      <c r="C65" s="122">
        <f t="shared" ref="C65:C66" si="11">B65*$E$34</f>
        <v>4999.9999999999991</v>
      </c>
      <c r="D65">
        <v>25</v>
      </c>
      <c r="E65" s="202">
        <f>D64+D65</f>
        <v>50</v>
      </c>
      <c r="F65" s="201">
        <f t="shared" ref="F65:F66" si="12">C65*D65</f>
        <v>124999.99999999997</v>
      </c>
    </row>
    <row r="66" spans="2:6">
      <c r="B66" s="200">
        <f t="shared" ref="B66" si="13">B65-0.5%</f>
        <v>4.9999999999999984E-3</v>
      </c>
      <c r="C66" s="122">
        <f t="shared" si="11"/>
        <v>2499.9999999999991</v>
      </c>
      <c r="D66">
        <v>200</v>
      </c>
      <c r="E66" s="202">
        <f>E65+D66</f>
        <v>250</v>
      </c>
      <c r="F66" s="201">
        <f t="shared" si="12"/>
        <v>499999.99999999983</v>
      </c>
    </row>
    <row r="67" spans="2:6" ht="15" thickBot="1">
      <c r="B67" s="200"/>
      <c r="C67"/>
      <c r="D67" s="203">
        <f>SUM(D64:D66)</f>
        <v>250</v>
      </c>
      <c r="E67" s="204"/>
      <c r="F67" s="205">
        <f>SUM(F64:F66)</f>
        <v>812499.99999999977</v>
      </c>
    </row>
    <row r="68" spans="2:6" ht="15.45" thickTop="1" thickBot="1">
      <c r="B68" s="178"/>
      <c r="C68" s="198"/>
      <c r="D68" s="198"/>
      <c r="E68" s="207"/>
      <c r="F68" s="208"/>
    </row>
    <row r="69" spans="2:6" ht="15" thickBot="1">
      <c r="B69"/>
      <c r="C69"/>
      <c r="D69"/>
      <c r="E69" s="112"/>
      <c r="F69"/>
    </row>
    <row r="70" spans="2:6">
      <c r="B70" s="389" t="s">
        <v>1230</v>
      </c>
      <c r="C70" s="390"/>
      <c r="D70" s="390"/>
      <c r="E70" s="390"/>
      <c r="F70" s="391"/>
    </row>
    <row r="71" spans="2:6">
      <c r="B71" s="200">
        <v>0.01</v>
      </c>
      <c r="C71" s="122">
        <f>B71*$E$34</f>
        <v>5000</v>
      </c>
      <c r="D71">
        <v>25</v>
      </c>
      <c r="E71"/>
      <c r="F71" s="201">
        <f>C71*D71</f>
        <v>125000</v>
      </c>
    </row>
    <row r="72" spans="2:6">
      <c r="B72" s="200">
        <f>B71-0.5%</f>
        <v>5.0000000000000001E-3</v>
      </c>
      <c r="C72" s="122">
        <f>B72*$E$34</f>
        <v>2500</v>
      </c>
      <c r="D72">
        <v>225</v>
      </c>
      <c r="E72" s="202">
        <f>D71+D72</f>
        <v>250</v>
      </c>
      <c r="F72" s="201">
        <f t="shared" ref="F72" si="14">C72*D72</f>
        <v>562500</v>
      </c>
    </row>
    <row r="73" spans="2:6" ht="15" thickBot="1">
      <c r="B73" s="200"/>
      <c r="C73"/>
      <c r="D73" s="203">
        <f>SUM(D71:D72)</f>
        <v>250</v>
      </c>
      <c r="E73" s="204"/>
      <c r="F73" s="205">
        <f>SUM(F71:F72)</f>
        <v>687500</v>
      </c>
    </row>
    <row r="74" spans="2:6" ht="15.45" thickTop="1" thickBot="1">
      <c r="B74" s="178"/>
      <c r="C74" s="198"/>
      <c r="D74" s="198"/>
      <c r="E74" s="207"/>
      <c r="F74" s="208"/>
    </row>
    <row r="75" spans="2:6" ht="15" thickBot="1">
      <c r="B75"/>
      <c r="C75"/>
      <c r="D75"/>
      <c r="E75" s="112"/>
      <c r="F75"/>
    </row>
    <row r="76" spans="2:6">
      <c r="B76" s="389" t="s">
        <v>1231</v>
      </c>
      <c r="C76" s="390"/>
      <c r="D76" s="390"/>
      <c r="E76" s="390"/>
      <c r="F76" s="391"/>
    </row>
    <row r="77" spans="2:6">
      <c r="B77" s="200">
        <v>5.0000000000000001E-3</v>
      </c>
      <c r="C77" s="122">
        <f>B77*$E$34</f>
        <v>2500</v>
      </c>
      <c r="D77">
        <v>250</v>
      </c>
      <c r="E77"/>
      <c r="F77" s="201">
        <f>C77*D77</f>
        <v>625000</v>
      </c>
    </row>
    <row r="78" spans="2:6" ht="15" thickBot="1">
      <c r="B78" s="200"/>
      <c r="C78"/>
      <c r="D78" s="203">
        <f>SUM(D77:D77)</f>
        <v>250</v>
      </c>
      <c r="E78" s="204"/>
      <c r="F78" s="205">
        <f>SUM(F77:F77)</f>
        <v>625000</v>
      </c>
    </row>
    <row r="79" spans="2:6" ht="15.45" thickTop="1" thickBot="1">
      <c r="B79" s="178"/>
      <c r="C79" s="198"/>
      <c r="D79" s="198"/>
      <c r="E79" s="207"/>
      <c r="F79" s="208"/>
    </row>
    <row r="81" spans="2:6">
      <c r="B81" s="93" t="s">
        <v>1232</v>
      </c>
      <c r="D81" s="209">
        <v>2</v>
      </c>
      <c r="E81" s="93" t="s">
        <v>1233</v>
      </c>
    </row>
    <row r="82" spans="2:6">
      <c r="D82" s="209">
        <v>3</v>
      </c>
      <c r="E82" s="93" t="s">
        <v>1234</v>
      </c>
    </row>
    <row r="83" spans="2:6" ht="15" thickBot="1">
      <c r="D83" s="211">
        <f>SUM(D81:D82)</f>
        <v>5</v>
      </c>
    </row>
    <row r="84" spans="2:6" ht="15" thickTop="1"/>
    <row r="85" spans="2:6">
      <c r="B85" s="93">
        <v>100</v>
      </c>
      <c r="C85" s="93">
        <f>B85*$B$34</f>
        <v>25000</v>
      </c>
      <c r="D85" s="210">
        <f>$D$83</f>
        <v>5</v>
      </c>
      <c r="F85" s="209">
        <f>C85*D85</f>
        <v>125000</v>
      </c>
    </row>
    <row r="86" spans="2:6">
      <c r="B86" s="93">
        <v>150</v>
      </c>
      <c r="C86" s="93">
        <f t="shared" ref="C86:C89" si="15">B86*$B$34</f>
        <v>37500</v>
      </c>
      <c r="D86" s="210">
        <f>$D$83</f>
        <v>5</v>
      </c>
      <c r="F86" s="209">
        <f t="shared" ref="F86:F89" si="16">C86*D86</f>
        <v>187500</v>
      </c>
    </row>
    <row r="87" spans="2:6">
      <c r="B87" s="93">
        <v>200</v>
      </c>
      <c r="C87" s="93">
        <f t="shared" si="15"/>
        <v>50000</v>
      </c>
      <c r="D87" s="210">
        <f>$D$83</f>
        <v>5</v>
      </c>
      <c r="F87" s="209">
        <f t="shared" si="16"/>
        <v>250000</v>
      </c>
    </row>
    <row r="88" spans="2:6">
      <c r="B88" s="93">
        <v>250</v>
      </c>
      <c r="C88" s="93">
        <f t="shared" si="15"/>
        <v>62500</v>
      </c>
      <c r="D88" s="210">
        <f>$D$83</f>
        <v>5</v>
      </c>
      <c r="F88" s="209">
        <f t="shared" si="16"/>
        <v>312500</v>
      </c>
    </row>
    <row r="89" spans="2:6">
      <c r="B89" s="93">
        <v>300</v>
      </c>
      <c r="C89" s="93">
        <f t="shared" si="15"/>
        <v>75000</v>
      </c>
      <c r="D89" s="210">
        <f>$D$83</f>
        <v>5</v>
      </c>
      <c r="F89" s="209">
        <f t="shared" si="16"/>
        <v>375000</v>
      </c>
    </row>
  </sheetData>
  <mergeCells count="9">
    <mergeCell ref="B70:F70"/>
    <mergeCell ref="B76:F76"/>
    <mergeCell ref="B5:E5"/>
    <mergeCell ref="B8:I8"/>
    <mergeCell ref="K8:L8"/>
    <mergeCell ref="B36:F36"/>
    <mergeCell ref="B46:F46"/>
    <mergeCell ref="B55:F55"/>
    <mergeCell ref="B63:F6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9E55-8751-4702-BEB3-64908D78129A}">
  <dimension ref="A1:U13"/>
  <sheetViews>
    <sheetView workbookViewId="0">
      <pane ySplit="1" topLeftCell="A5" activePane="bottomLeft" state="frozen"/>
      <selection pane="bottomLeft" activeCell="D7" sqref="D7"/>
    </sheetView>
  </sheetViews>
  <sheetFormatPr defaultColWidth="9.15234375" defaultRowHeight="14.6"/>
  <cols>
    <col min="1" max="1" width="30.3046875" style="44" bestFit="1" customWidth="1"/>
    <col min="2" max="2" width="16" style="44" bestFit="1" customWidth="1"/>
    <col min="3" max="3" width="16" style="44" customWidth="1"/>
    <col min="4" max="4" width="57.3046875" style="14" bestFit="1" customWidth="1"/>
    <col min="5" max="5" width="17.15234375" style="28" bestFit="1" customWidth="1"/>
    <col min="6" max="6" width="20.15234375" style="28" bestFit="1" customWidth="1"/>
    <col min="7" max="7" width="12" style="44" bestFit="1" customWidth="1"/>
    <col min="8" max="8" width="26.15234375" style="46" bestFit="1" customWidth="1"/>
    <col min="9" max="9" width="12.15234375" style="44" customWidth="1"/>
    <col min="10" max="10" width="16.69140625" style="44" customWidth="1"/>
    <col min="11" max="11" width="16" style="44" customWidth="1"/>
    <col min="12" max="12" width="17.69140625" style="44" customWidth="1"/>
    <col min="13" max="13" width="14.15234375" style="44" customWidth="1"/>
    <col min="14" max="14" width="18.3046875" style="47" bestFit="1" customWidth="1"/>
    <col min="15" max="15" width="23.3046875" style="14" bestFit="1" customWidth="1"/>
    <col min="16" max="16" width="14.15234375" style="48" bestFit="1" customWidth="1"/>
    <col min="17" max="17" width="17.69140625" style="28" bestFit="1" customWidth="1"/>
    <col min="18" max="18" width="19.15234375" style="44" bestFit="1" customWidth="1"/>
    <col min="19" max="19" width="57.3046875" style="44" bestFit="1" customWidth="1"/>
    <col min="20" max="20" width="55.15234375" style="49" bestFit="1" customWidth="1"/>
    <col min="21" max="21" width="55.15234375" style="14" bestFit="1" customWidth="1"/>
    <col min="22" max="24" width="9.15234375" style="14"/>
    <col min="25" max="25" width="31.69140625" style="14" bestFit="1" customWidth="1"/>
    <col min="26" max="16384" width="9.15234375" style="14"/>
  </cols>
  <sheetData>
    <row r="1" spans="1:21">
      <c r="A1" s="1" t="s">
        <v>0</v>
      </c>
      <c r="B1" s="2"/>
      <c r="C1" s="113"/>
      <c r="D1" s="3" t="s">
        <v>1</v>
      </c>
      <c r="E1" s="4" t="s">
        <v>2</v>
      </c>
      <c r="F1" s="5" t="s">
        <v>3</v>
      </c>
      <c r="G1" s="6" t="s">
        <v>4</v>
      </c>
      <c r="H1" s="7" t="s">
        <v>5</v>
      </c>
      <c r="I1" s="6" t="s">
        <v>6</v>
      </c>
      <c r="J1" s="6" t="s">
        <v>7</v>
      </c>
      <c r="K1" s="8" t="s">
        <v>1024</v>
      </c>
      <c r="L1" s="1" t="s">
        <v>9</v>
      </c>
      <c r="M1" s="2" t="s">
        <v>10</v>
      </c>
      <c r="N1" s="9" t="s">
        <v>11</v>
      </c>
      <c r="O1" s="10" t="s">
        <v>12</v>
      </c>
      <c r="P1" s="11" t="s">
        <v>13</v>
      </c>
      <c r="Q1" s="5" t="s">
        <v>14</v>
      </c>
      <c r="R1" s="6" t="s">
        <v>15</v>
      </c>
      <c r="S1" s="6" t="s">
        <v>16</v>
      </c>
      <c r="T1" s="1" t="s">
        <v>17</v>
      </c>
      <c r="U1" s="12" t="s">
        <v>18</v>
      </c>
    </row>
    <row r="2" spans="1:21">
      <c r="A2" s="64" t="s">
        <v>19</v>
      </c>
      <c r="B2" s="75" t="s">
        <v>20</v>
      </c>
      <c r="C2" s="114"/>
      <c r="D2" s="118" t="s">
        <v>21</v>
      </c>
      <c r="E2" s="65">
        <v>99406654</v>
      </c>
      <c r="F2" s="116" t="s">
        <v>22</v>
      </c>
      <c r="G2" s="74" t="s">
        <v>23</v>
      </c>
      <c r="H2" s="26" t="s">
        <v>24</v>
      </c>
      <c r="I2" s="16" t="s">
        <v>25</v>
      </c>
      <c r="J2" s="73" t="s">
        <v>26</v>
      </c>
      <c r="K2" s="16" t="s">
        <v>27</v>
      </c>
      <c r="L2" s="21" t="s">
        <v>28</v>
      </c>
      <c r="M2" s="16" t="s">
        <v>29</v>
      </c>
      <c r="N2" s="22">
        <v>44047</v>
      </c>
      <c r="O2" s="20" t="s">
        <v>30</v>
      </c>
      <c r="P2" s="23">
        <v>45024</v>
      </c>
      <c r="Q2" s="19">
        <v>0</v>
      </c>
      <c r="R2" s="16" t="s">
        <v>31</v>
      </c>
      <c r="S2" s="16"/>
      <c r="T2" s="24" t="s">
        <v>32</v>
      </c>
      <c r="U2" s="24" t="s">
        <v>115</v>
      </c>
    </row>
    <row r="3" spans="1:21">
      <c r="A3" s="15" t="s">
        <v>19</v>
      </c>
      <c r="B3" s="76" t="s">
        <v>20</v>
      </c>
      <c r="C3" s="115"/>
      <c r="D3" s="120" t="s">
        <v>43</v>
      </c>
      <c r="E3" s="74">
        <v>72943215</v>
      </c>
      <c r="F3" s="116" t="s">
        <v>44</v>
      </c>
      <c r="G3" s="74" t="s">
        <v>23</v>
      </c>
      <c r="H3" s="26" t="s">
        <v>24</v>
      </c>
      <c r="I3" s="16" t="s">
        <v>25</v>
      </c>
      <c r="J3" s="73" t="s">
        <v>26</v>
      </c>
      <c r="K3" s="16" t="s">
        <v>45</v>
      </c>
      <c r="L3" s="21" t="s">
        <v>46</v>
      </c>
      <c r="M3" s="16" t="s">
        <v>47</v>
      </c>
      <c r="N3" s="22">
        <v>40240</v>
      </c>
      <c r="O3" s="20" t="s">
        <v>48</v>
      </c>
      <c r="P3" s="23">
        <v>44988</v>
      </c>
      <c r="Q3" s="19">
        <v>688</v>
      </c>
      <c r="R3" s="16">
        <v>100</v>
      </c>
      <c r="S3" s="16" t="s">
        <v>42</v>
      </c>
      <c r="T3" s="24" t="s">
        <v>32</v>
      </c>
      <c r="U3" s="24" t="s">
        <v>115</v>
      </c>
    </row>
    <row r="4" spans="1:21">
      <c r="A4" s="15" t="s">
        <v>19</v>
      </c>
      <c r="B4" s="76" t="s">
        <v>20</v>
      </c>
      <c r="C4" s="76"/>
      <c r="D4" s="118" t="s">
        <v>49</v>
      </c>
      <c r="E4" s="65" t="s">
        <v>36</v>
      </c>
      <c r="F4" s="65"/>
      <c r="G4" s="65"/>
      <c r="H4" s="26"/>
      <c r="I4" s="16"/>
      <c r="J4" s="16"/>
      <c r="K4" s="16" t="s">
        <v>50</v>
      </c>
      <c r="L4" s="21" t="s">
        <v>51</v>
      </c>
      <c r="M4" s="16" t="s">
        <v>52</v>
      </c>
      <c r="N4" s="22">
        <v>41066</v>
      </c>
      <c r="O4" s="20" t="s">
        <v>30</v>
      </c>
      <c r="P4" s="23">
        <v>45083</v>
      </c>
      <c r="Q4" s="19">
        <v>0</v>
      </c>
      <c r="R4" s="16" t="s">
        <v>31</v>
      </c>
      <c r="S4" s="16"/>
      <c r="T4" s="24" t="s">
        <v>53</v>
      </c>
      <c r="U4" s="24" t="s">
        <v>115</v>
      </c>
    </row>
    <row r="5" spans="1:21">
      <c r="A5" s="15" t="s">
        <v>19</v>
      </c>
      <c r="B5" s="77" t="s">
        <v>66</v>
      </c>
      <c r="C5" s="115" t="s">
        <v>73</v>
      </c>
      <c r="D5" s="78" t="s">
        <v>74</v>
      </c>
      <c r="E5" s="79"/>
      <c r="F5" s="65"/>
      <c r="G5" s="65"/>
      <c r="H5" s="26"/>
      <c r="I5" s="16"/>
      <c r="J5" s="16"/>
      <c r="K5" s="16" t="s">
        <v>75</v>
      </c>
      <c r="L5" s="21" t="s">
        <v>76</v>
      </c>
      <c r="M5" s="16" t="s">
        <v>77</v>
      </c>
      <c r="N5" s="22">
        <v>42095</v>
      </c>
      <c r="O5" s="20" t="s">
        <v>40</v>
      </c>
      <c r="P5" s="23">
        <v>45017</v>
      </c>
      <c r="Q5" s="19"/>
      <c r="R5" s="16">
        <v>100</v>
      </c>
      <c r="S5" s="16" t="s">
        <v>49</v>
      </c>
      <c r="T5" s="66" t="s">
        <v>53</v>
      </c>
      <c r="U5" s="24" t="s">
        <v>115</v>
      </c>
    </row>
    <row r="6" spans="1:21">
      <c r="A6" s="44" t="s">
        <v>78</v>
      </c>
    </row>
    <row r="9" spans="1:21">
      <c r="I9" s="44">
        <v>51106.239999999998</v>
      </c>
    </row>
    <row r="10" spans="1:21">
      <c r="I10" s="44">
        <v>50405.24</v>
      </c>
    </row>
    <row r="11" spans="1:21">
      <c r="I11" s="44">
        <f>I9-I10</f>
        <v>701</v>
      </c>
    </row>
    <row r="13" spans="1:21">
      <c r="G13" s="46"/>
      <c r="I13" s="46"/>
    </row>
  </sheetData>
  <autoFilter ref="A1:U4" xr:uid="{E206B009-E6DB-46FA-ADA1-82F432ABF6C1}">
    <sortState xmlns:xlrd2="http://schemas.microsoft.com/office/spreadsheetml/2017/richdata2" ref="A2:U4">
      <sortCondition ref="A1:A4"/>
    </sortState>
  </autoFilter>
  <hyperlinks>
    <hyperlink ref="L3" r:id="rId1" xr:uid="{4FAC1200-E2B1-4958-8011-5937820D830D}"/>
    <hyperlink ref="L5" r:id="rId2" xr:uid="{A05F56C2-62B1-4C0C-A50E-EBD747A619E0}"/>
    <hyperlink ref="J2" r:id="rId3" xr:uid="{D608EB84-CD33-4B45-8E90-6B229453A1F8}"/>
    <hyperlink ref="J3" r:id="rId4" xr:uid="{081E2658-9292-4E91-8D61-7486DC6EB754}"/>
  </hyperlinks>
  <pageMargins left="0.7" right="0.7" top="0.75" bottom="0.75" header="0.3" footer="0.3"/>
  <pageSetup paperSize="9" orientation="portrait" r:id="rId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D244E-AB1B-41CF-B074-63433A16BC3F}">
  <dimension ref="A2:F37"/>
  <sheetViews>
    <sheetView workbookViewId="0"/>
  </sheetViews>
  <sheetFormatPr defaultColWidth="8.69140625" defaultRowHeight="14.6"/>
  <cols>
    <col min="2" max="5" width="16.15234375" customWidth="1"/>
  </cols>
  <sheetData>
    <row r="2" spans="1:6" ht="15" thickBot="1">
      <c r="B2" s="20" t="s">
        <v>706</v>
      </c>
      <c r="C2" s="20" t="s">
        <v>538</v>
      </c>
      <c r="D2" s="58" t="s">
        <v>964</v>
      </c>
    </row>
    <row r="3" spans="1:6" ht="15" thickBot="1">
      <c r="B3" s="21" t="s">
        <v>647</v>
      </c>
      <c r="C3" s="32" t="s">
        <v>541</v>
      </c>
      <c r="D3" s="60" t="s">
        <v>501</v>
      </c>
      <c r="E3" s="70"/>
      <c r="F3" s="70"/>
    </row>
    <row r="4" spans="1:6">
      <c r="A4" t="s">
        <v>1107</v>
      </c>
      <c r="B4" s="70">
        <v>1</v>
      </c>
      <c r="C4" s="70"/>
      <c r="E4" s="70"/>
      <c r="F4" s="70"/>
    </row>
    <row r="5" spans="1:6">
      <c r="A5" t="s">
        <v>1235</v>
      </c>
      <c r="B5" s="70">
        <v>1</v>
      </c>
      <c r="C5" s="70"/>
      <c r="D5" s="70"/>
      <c r="E5" s="70"/>
      <c r="F5" s="70"/>
    </row>
    <row r="6" spans="1:6">
      <c r="A6" t="s">
        <v>1108</v>
      </c>
      <c r="B6" s="70">
        <v>1</v>
      </c>
      <c r="C6" s="70"/>
      <c r="D6" s="70"/>
      <c r="E6" s="70"/>
      <c r="F6" s="70"/>
    </row>
    <row r="7" spans="1:6">
      <c r="A7" t="s">
        <v>1236</v>
      </c>
      <c r="B7" s="70"/>
      <c r="C7" s="70">
        <v>0.5</v>
      </c>
      <c r="D7" s="70">
        <v>0.5</v>
      </c>
      <c r="E7" s="70"/>
      <c r="F7" s="70"/>
    </row>
    <row r="8" spans="1:6">
      <c r="A8" t="s">
        <v>1237</v>
      </c>
      <c r="B8" s="70"/>
      <c r="C8" s="70">
        <v>1</v>
      </c>
      <c r="D8" s="70"/>
      <c r="E8" s="70"/>
      <c r="F8" s="70"/>
    </row>
    <row r="9" spans="1:6">
      <c r="A9" t="s">
        <v>1238</v>
      </c>
      <c r="B9" s="70"/>
      <c r="C9" s="70"/>
      <c r="D9" s="70">
        <v>1</v>
      </c>
      <c r="E9" s="70"/>
      <c r="F9" s="70"/>
    </row>
    <row r="10" spans="1:6">
      <c r="A10" t="s">
        <v>1239</v>
      </c>
      <c r="B10" s="70">
        <v>1</v>
      </c>
      <c r="C10" s="70"/>
      <c r="D10" s="70"/>
      <c r="E10" s="70"/>
      <c r="F10" s="70"/>
    </row>
    <row r="11" spans="1:6">
      <c r="A11" t="s">
        <v>1240</v>
      </c>
      <c r="B11" s="70"/>
      <c r="C11" s="70">
        <v>1</v>
      </c>
      <c r="D11" s="70"/>
      <c r="E11" s="70"/>
      <c r="F11" s="70"/>
    </row>
    <row r="12" spans="1:6">
      <c r="B12" s="70"/>
      <c r="C12" s="70"/>
      <c r="D12" s="70"/>
      <c r="E12" s="70"/>
      <c r="F12" s="70"/>
    </row>
    <row r="13" spans="1:6">
      <c r="B13" s="70"/>
      <c r="C13" s="70"/>
      <c r="D13" s="70"/>
      <c r="E13" s="70"/>
      <c r="F13" s="70"/>
    </row>
    <row r="14" spans="1:6">
      <c r="B14" s="70"/>
      <c r="C14" s="70"/>
      <c r="D14" s="70"/>
      <c r="E14" s="70"/>
      <c r="F14" s="70"/>
    </row>
    <row r="15" spans="1:6">
      <c r="B15" s="70"/>
      <c r="C15" s="70"/>
      <c r="D15" s="70"/>
      <c r="E15" s="70"/>
      <c r="F15" s="70"/>
    </row>
    <row r="16" spans="1:6">
      <c r="B16" s="70"/>
      <c r="C16" s="70"/>
      <c r="D16" s="70"/>
      <c r="E16" s="70"/>
      <c r="F16" s="70"/>
    </row>
    <row r="17" spans="2:6">
      <c r="B17" s="70"/>
      <c r="C17" s="70"/>
      <c r="D17" s="70"/>
      <c r="E17" s="70"/>
      <c r="F17" s="70"/>
    </row>
    <row r="18" spans="2:6">
      <c r="B18" s="70"/>
      <c r="C18" s="70"/>
      <c r="D18" s="70"/>
      <c r="E18" s="70"/>
      <c r="F18" s="70"/>
    </row>
    <row r="19" spans="2:6">
      <c r="B19" s="70"/>
      <c r="C19" s="70"/>
      <c r="D19" s="70"/>
      <c r="E19" s="70"/>
      <c r="F19" s="70"/>
    </row>
    <row r="20" spans="2:6">
      <c r="B20" s="70"/>
      <c r="C20" s="70"/>
      <c r="D20" s="70"/>
      <c r="E20" s="70"/>
      <c r="F20" s="70"/>
    </row>
    <row r="21" spans="2:6">
      <c r="B21" s="70"/>
      <c r="C21" s="70"/>
      <c r="D21" s="70"/>
      <c r="E21" s="70"/>
      <c r="F21" s="70"/>
    </row>
    <row r="22" spans="2:6">
      <c r="B22" s="70"/>
      <c r="C22" s="70"/>
      <c r="D22" s="70"/>
      <c r="E22" s="70"/>
      <c r="F22" s="70"/>
    </row>
    <row r="23" spans="2:6">
      <c r="B23" s="70"/>
      <c r="C23" s="70"/>
      <c r="D23" s="70"/>
      <c r="E23" s="70"/>
      <c r="F23" s="70"/>
    </row>
    <row r="24" spans="2:6">
      <c r="B24" s="70"/>
      <c r="C24" s="70"/>
      <c r="D24" s="70"/>
      <c r="E24" s="70"/>
      <c r="F24" s="70"/>
    </row>
    <row r="25" spans="2:6">
      <c r="B25" s="70"/>
      <c r="C25" s="70"/>
      <c r="D25" s="70"/>
      <c r="E25" s="70"/>
      <c r="F25" s="70"/>
    </row>
    <row r="26" spans="2:6">
      <c r="B26" s="70"/>
      <c r="C26" s="70"/>
      <c r="D26" s="70"/>
      <c r="E26" s="70"/>
      <c r="F26" s="70"/>
    </row>
    <row r="27" spans="2:6">
      <c r="B27" s="70"/>
      <c r="C27" s="70"/>
      <c r="D27" s="70"/>
      <c r="E27" s="70"/>
      <c r="F27" s="70"/>
    </row>
    <row r="28" spans="2:6">
      <c r="B28" s="70"/>
      <c r="C28" s="70"/>
      <c r="D28" s="70"/>
      <c r="E28" s="70"/>
      <c r="F28" s="70"/>
    </row>
    <row r="29" spans="2:6">
      <c r="B29" s="70"/>
      <c r="C29" s="70"/>
      <c r="D29" s="70"/>
      <c r="E29" s="70"/>
      <c r="F29" s="70"/>
    </row>
    <row r="30" spans="2:6">
      <c r="B30" s="70"/>
      <c r="C30" s="70"/>
      <c r="D30" s="70"/>
      <c r="E30" s="70"/>
      <c r="F30" s="70"/>
    </row>
    <row r="31" spans="2:6">
      <c r="B31" s="70"/>
      <c r="C31" s="70"/>
      <c r="D31" s="70"/>
      <c r="E31" s="70"/>
      <c r="F31" s="70"/>
    </row>
    <row r="32" spans="2:6">
      <c r="B32" s="70"/>
      <c r="C32" s="70"/>
      <c r="D32" s="70"/>
      <c r="E32" s="70"/>
      <c r="F32" s="70"/>
    </row>
    <row r="33" spans="2:6">
      <c r="B33" s="70"/>
      <c r="C33" s="70"/>
      <c r="D33" s="70"/>
      <c r="E33" s="70"/>
      <c r="F33" s="70"/>
    </row>
    <row r="34" spans="2:6">
      <c r="B34" s="70"/>
      <c r="C34" s="70"/>
      <c r="D34" s="70"/>
      <c r="E34" s="70"/>
      <c r="F34" s="70"/>
    </row>
    <row r="35" spans="2:6">
      <c r="B35" s="70"/>
      <c r="C35" s="70"/>
      <c r="D35" s="70"/>
      <c r="E35" s="70"/>
      <c r="F35" s="70"/>
    </row>
    <row r="36" spans="2:6">
      <c r="B36" s="70"/>
      <c r="C36" s="70"/>
      <c r="D36" s="70"/>
      <c r="E36" s="70"/>
      <c r="F36" s="70"/>
    </row>
    <row r="37" spans="2:6">
      <c r="B37" s="70"/>
      <c r="C37" s="70"/>
      <c r="D37" s="70"/>
      <c r="E37" s="70"/>
      <c r="F37" s="70"/>
    </row>
  </sheetData>
  <hyperlinks>
    <hyperlink ref="C3" r:id="rId1" xr:uid="{8C3BDFFB-BC5D-4972-8DC5-D3D7D309A869}"/>
    <hyperlink ref="B3" r:id="rId2" xr:uid="{416B9E0B-3DFA-410C-922A-21C68DDAB7C9}"/>
    <hyperlink ref="D3" r:id="rId3" xr:uid="{0C4F71E4-8C40-48D6-87EB-22EB006A64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2022 Charity (2)</vt:lpstr>
      <vt:lpstr>2022 Team Harder (2)</vt:lpstr>
      <vt:lpstr>StatementImportTemplate.en-US</vt:lpstr>
      <vt:lpstr>Co Invest Homes</vt:lpstr>
      <vt:lpstr>Co Invest Capital</vt:lpstr>
      <vt:lpstr>W2G</vt:lpstr>
      <vt:lpstr>THSI</vt:lpstr>
      <vt:lpstr>Team Harder Family Trust</vt:lpstr>
      <vt:lpstr>Prov1322</vt:lpstr>
      <vt:lpstr>Gen2612</vt:lpstr>
      <vt:lpstr>Team Harder Super Fund</vt:lpstr>
      <vt:lpstr>Team Harder</vt:lpstr>
      <vt:lpstr>Tekna Homes</vt:lpstr>
      <vt:lpstr>Tekna Drafting</vt:lpstr>
      <vt:lpstr>Tekna Admin</vt:lpstr>
      <vt:lpstr>Tekna</vt:lpstr>
      <vt:lpstr>The Promise Family Trust</vt:lpstr>
      <vt:lpstr>The Promise QLD PTY LTD</vt:lpstr>
      <vt:lpstr>Template</vt:lpstr>
      <vt:lpstr>All Companies</vt:lpstr>
      <vt:lpstr>Document Type</vt:lpstr>
      <vt:lpstr>Sheet3</vt:lpstr>
      <vt:lpstr>Bank Accounts </vt:lpstr>
      <vt:lpstr>XERO Account Numbers</vt:lpstr>
      <vt:lpstr>Sheet2</vt:lpstr>
      <vt:lpstr>Balance Sheet Reconcile</vt:lpstr>
      <vt:lpstr>Sheet1</vt:lpstr>
      <vt:lpstr>Director Details (2)</vt:lpstr>
      <vt:lpstr>Director Details</vt:lpstr>
      <vt:lpstr>Rachel Directorship</vt:lpstr>
      <vt:lpstr>Logon</vt:lpstr>
      <vt:lpstr> Team Plug</vt:lpstr>
      <vt:lpstr> Tekna Group</vt:lpstr>
      <vt:lpstr> Team Harder</vt:lpstr>
      <vt:lpstr>Insurance Cover</vt:lpstr>
      <vt:lpstr>SVL</vt:lpstr>
      <vt:lpstr>Tekna Models</vt:lpstr>
      <vt:lpstr> Charity</vt:lpstr>
      <vt:lpstr>Wages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Harder</dc:creator>
  <cp:keywords/>
  <dc:description/>
  <cp:lastModifiedBy>Rachel Harder</cp:lastModifiedBy>
  <cp:revision/>
  <dcterms:created xsi:type="dcterms:W3CDTF">2022-05-24T05:33:31Z</dcterms:created>
  <dcterms:modified xsi:type="dcterms:W3CDTF">2025-12-05T06:57:29Z</dcterms:modified>
  <cp:category/>
  <cp:contentStatus/>
</cp:coreProperties>
</file>